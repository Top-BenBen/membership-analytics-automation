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doyi\Desktop\monthly\Q3 REPORT\"/>
    </mc:Choice>
  </mc:AlternateContent>
  <xr:revisionPtr revIDLastSave="0" documentId="13_ncr:1_{D5E5254D-3408-48CA-894B-4D517FE4B8A2}" xr6:coauthVersionLast="47" xr6:coauthVersionMax="47" xr10:uidLastSave="{00000000-0000-0000-0000-000000000000}"/>
  <bookViews>
    <workbookView xWindow="-108" yWindow="-108" windowWidth="23256" windowHeight="12456" firstSheet="1" activeTab="1" xr2:uid="{00000000-000D-0000-FFFF-FFFF00000000}"/>
  </bookViews>
  <sheets>
    <sheet name="Cover Page" sheetId="1" r:id="rId1"/>
    <sheet name="Summary" sheetId="2" r:id="rId2"/>
    <sheet name="Age Analysis" sheetId="3" r:id="rId3"/>
    <sheet name="By Client" sheetId="4" r:id="rId4"/>
    <sheet name="COM MEM" sheetId="5" r:id="rId5"/>
    <sheet name="Industry Mem" sheetId="6" r:id="rId6"/>
    <sheet name="Membership Trend" sheetId="7" r:id="rId7"/>
  </sheets>
  <definedNames>
    <definedName name="_xlnm._FilterDatabase" localSheetId="3" hidden="1">'By Client'!$A$5:$D$384</definedName>
    <definedName name="_xlnm._FilterDatabase" localSheetId="4" hidden="1">'COM MEM'!$A$13:$H$392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5" i="2" l="1"/>
  <c r="E192" i="2"/>
  <c r="C137" i="3"/>
  <c r="D100" i="3"/>
  <c r="C100" i="3"/>
  <c r="E44" i="3"/>
  <c r="D44" i="3"/>
  <c r="C44" i="3"/>
  <c r="E43" i="3"/>
  <c r="E42" i="3"/>
  <c r="E41" i="3"/>
  <c r="E40" i="3"/>
  <c r="E39" i="3"/>
  <c r="E38" i="3"/>
  <c r="E37" i="3"/>
  <c r="E36" i="3"/>
  <c r="E35" i="3"/>
  <c r="E34" i="3"/>
  <c r="E33" i="3"/>
  <c r="E32" i="3"/>
  <c r="E31" i="3"/>
  <c r="E30" i="3"/>
  <c r="D24" i="3"/>
  <c r="C24" i="3"/>
  <c r="E23" i="3"/>
  <c r="E22" i="3"/>
  <c r="E21" i="3"/>
  <c r="E24" i="3" s="1"/>
  <c r="F43" i="3" l="1"/>
  <c r="F42" i="3"/>
  <c r="F41" i="3"/>
  <c r="F40" i="3"/>
  <c r="F39" i="3"/>
  <c r="F38" i="3"/>
  <c r="F37" i="3"/>
  <c r="F36" i="3"/>
  <c r="F35" i="3"/>
  <c r="F34" i="3"/>
  <c r="F33" i="3"/>
  <c r="F32" i="3"/>
  <c r="F31" i="3"/>
  <c r="F30" i="3"/>
</calcChain>
</file>

<file path=xl/sharedStrings.xml><?xml version="1.0" encoding="utf-8"?>
<sst xmlns="http://schemas.openxmlformats.org/spreadsheetml/2006/main" count="516" uniqueCount="325">
  <si>
    <t>Membership Utilization Report</t>
  </si>
  <si>
    <t>Reporting Period:</t>
  </si>
  <si>
    <t>Q3 - 2026</t>
  </si>
  <si>
    <t>Prepared By:</t>
  </si>
  <si>
    <t>Date Prepared:</t>
  </si>
  <si>
    <t>04 October 2026</t>
  </si>
  <si>
    <t>INTRODUCTION</t>
  </si>
  <si>
    <t>Membership data management is the process of collecting, analyzing, and interpreting active membership information to support evidence-based decision making. It involves the application of statistical techniques and data analytics to understand membership composition, demographic structure, portfolio distribution, and membership trends. This report provides Management and the Board with a clear view of the active membership population and the insights derived from the membership data. The scope of this report is limited to Membership Analysis, Demographic Analysis and Statistical Reporting.</t>
  </si>
  <si>
    <t>MEMBERSHIP SUMMARY REPORT — Q3 - 2026</t>
  </si>
  <si>
    <t>0.0  MANAGEMENT MEMBERSHIP OVERVIEW</t>
  </si>
  <si>
    <t>Metric</t>
  </si>
  <si>
    <t>Value</t>
  </si>
  <si>
    <t>Active Membership</t>
  </si>
  <si>
    <t>Client Companies</t>
  </si>
  <si>
    <t>Principals</t>
  </si>
  <si>
    <t>Dependants</t>
  </si>
  <si>
    <t>Additions</t>
  </si>
  <si>
    <t>Exits</t>
  </si>
  <si>
    <t>Average Dependants per Principal</t>
  </si>
  <si>
    <t>Mean Age</t>
  </si>
  <si>
    <t>28.9 years</t>
  </si>
  <si>
    <t>Median Age</t>
  </si>
  <si>
    <t>31.0 years</t>
  </si>
  <si>
    <t>Share Aged 61+</t>
  </si>
  <si>
    <t>Share Under 20</t>
  </si>
  <si>
    <t>Old-Age Dependency (61+ per 20-60)</t>
  </si>
  <si>
    <t>1 : 0.01</t>
  </si>
  <si>
    <t>Members with Valid Join Date</t>
  </si>
  <si>
    <t>Plan Position</t>
  </si>
  <si>
    <t>Client Position</t>
  </si>
  <si>
    <t>Industry Position</t>
  </si>
  <si>
    <t>Industrial Engineering &amp; Construction is the largest industry grouping by active membership, with 4,326 members (15.0% of total active membership).</t>
  </si>
  <si>
    <t>Age Profile</t>
  </si>
  <si>
    <t>The mean age is 28.9 years and median age is 31.0 years. The largest age band is 25–29 (15.6% of members with valid age data).</t>
  </si>
  <si>
    <t>Tenure Profile</t>
  </si>
  <si>
    <t>Among 28,911 active members with valid Join Dates, the largest tenure band is &gt;12 months (74.9%).</t>
  </si>
  <si>
    <t>Monthly Trend</t>
  </si>
  <si>
    <t>The latest entered monthly snapshot (SEPTEMBER 2026) records 28,914 active members, with a change of -2,959 (-9.3%) from the preceding available month.</t>
  </si>
  <si>
    <t>Quarterly Trend</t>
  </si>
  <si>
    <t>The latest entered quarterly snapshot (Q3 2026) records 28,914 active members, with a change of -5,273 (-15.4%) from the preceding available quarter.</t>
  </si>
  <si>
    <t>Cross-Page Management Findings</t>
  </si>
  <si>
    <t>Analysis Area</t>
  </si>
  <si>
    <t>Key Finding</t>
  </si>
  <si>
    <t>Gender</t>
  </si>
  <si>
    <t>MALE: 16,786 members (58.1%).</t>
  </si>
  <si>
    <t>Member Type</t>
  </si>
  <si>
    <t>PRINCIPAL: 17,065 members (59.0%).</t>
  </si>
  <si>
    <t>Industry</t>
  </si>
  <si>
    <t>Industrial Engineering &amp; Construction: 4,326 members (15.0%).</t>
  </si>
  <si>
    <t>Client Concentration</t>
  </si>
  <si>
    <t>Top 5 clients: 7,008 members (24.2%); top 10 clients: 10,569 members (36.6%).</t>
  </si>
  <si>
    <t>1.0  MEMBERSHIP BY VARIOUS BREAKDOWN</t>
  </si>
  <si>
    <t>1.1  Membership Composition by Plan</t>
  </si>
  <si>
    <t>Plan</t>
  </si>
  <si>
    <t>Number of Members</t>
  </si>
  <si>
    <t>%GT</t>
  </si>
  <si>
    <t>26.67%</t>
  </si>
  <si>
    <t>24.41%</t>
  </si>
  <si>
    <t>14.77%</t>
  </si>
  <si>
    <t>14.73%</t>
  </si>
  <si>
    <t>TPA</t>
  </si>
  <si>
    <t>6.35%</t>
  </si>
  <si>
    <t>6.16%</t>
  </si>
  <si>
    <t>MY CARE</t>
  </si>
  <si>
    <t>5.41%</t>
  </si>
  <si>
    <t>CORE CARE</t>
  </si>
  <si>
    <t>0.74%</t>
  </si>
  <si>
    <t>EXCLUSIVE CARE</t>
  </si>
  <si>
    <t>0.29%</t>
  </si>
  <si>
    <t>ABUSAPA</t>
  </si>
  <si>
    <t>0.27%</t>
  </si>
  <si>
    <t>EXECUTIVE CARE</t>
  </si>
  <si>
    <t>0.16%</t>
  </si>
  <si>
    <t>FAMILY CARE</t>
  </si>
  <si>
    <t>0.05%</t>
  </si>
  <si>
    <t>GRAND TOTAL</t>
  </si>
  <si>
    <t>100.00%</t>
  </si>
  <si>
    <t>1.2  Membership Breakdown by Member Type</t>
  </si>
  <si>
    <t>PRINCIPAL</t>
  </si>
  <si>
    <t>59.02%</t>
  </si>
  <si>
    <t>DEPENDENT</t>
  </si>
  <si>
    <t>40.98%</t>
  </si>
  <si>
    <t>This shows there are more principal (employee) lives (59.02%) than dependent lives (40.98%) on the scheme.</t>
  </si>
  <si>
    <t>1.3  Membership Breakdown by Gender</t>
  </si>
  <si>
    <t>MALE</t>
  </si>
  <si>
    <t>58.05%</t>
  </si>
  <si>
    <t>FEMALE</t>
  </si>
  <si>
    <t>41.95%</t>
  </si>
  <si>
    <t>There are more MALE members (58.05%) on the scheme than FEMALE (41.95%).</t>
  </si>
  <si>
    <t>1.4  Male to Female Ratio</t>
  </si>
  <si>
    <t>Total Male</t>
  </si>
  <si>
    <t>Total Female</t>
  </si>
  <si>
    <t>Male %</t>
  </si>
  <si>
    <t>Female %</t>
  </si>
  <si>
    <t>Ratio (Male : Female)</t>
  </si>
  <si>
    <t>1 : 0.72</t>
  </si>
  <si>
    <t>For every 1 male member on the scheme, there are 0.72 female member(s) — a ratio of 1 : 0.72.</t>
  </si>
  <si>
    <t>1.5  Principal to Dependent Ratio</t>
  </si>
  <si>
    <t>Total Principals</t>
  </si>
  <si>
    <t>Total Dependents</t>
  </si>
  <si>
    <t>Principal %</t>
  </si>
  <si>
    <t>Dependent %</t>
  </si>
  <si>
    <t>Ratio (Principal : Dependent)</t>
  </si>
  <si>
    <t>1 : 0.69</t>
  </si>
  <si>
    <t>For every 1 principal (employee) member on the scheme, there are 0.69 dependent(s) — a ratio of 1 : 0.69.</t>
  </si>
  <si>
    <t>1.6  Membership by Portfolio</t>
  </si>
  <si>
    <t>Portfolio</t>
  </si>
  <si>
    <t>Active Lives</t>
  </si>
  <si>
    <t>CORPORATE PLAN</t>
  </si>
  <si>
    <t>RETAIL/CONTROLLER</t>
  </si>
  <si>
    <t>1.7  Membership by Industry</t>
  </si>
  <si>
    <t>Industrial Engineering &amp; Construction</t>
  </si>
  <si>
    <t>14.96%</t>
  </si>
  <si>
    <t>Engineering, Mining &amp; Technical Services</t>
  </si>
  <si>
    <t>13.38%</t>
  </si>
  <si>
    <t>Fmcg, Trade &amp; Commodities</t>
  </si>
  <si>
    <t>10.70%</t>
  </si>
  <si>
    <t>Financial Services</t>
  </si>
  <si>
    <t>7.89%</t>
  </si>
  <si>
    <t>Professional &amp; Business Services</t>
  </si>
  <si>
    <t>7.05%</t>
  </si>
  <si>
    <t>Information &amp; Communication Technology</t>
  </si>
  <si>
    <t>5.90%</t>
  </si>
  <si>
    <t>Agriculture &amp; Agribusiness</t>
  </si>
  <si>
    <t>5.39%</t>
  </si>
  <si>
    <t>Logistics, Transport &amp; Traffic</t>
  </si>
  <si>
    <t>5.30%</t>
  </si>
  <si>
    <t>Telecommunication</t>
  </si>
  <si>
    <t>4.82%</t>
  </si>
  <si>
    <t>Real Estate / Housing And Urban Development</t>
  </si>
  <si>
    <t>4.02%</t>
  </si>
  <si>
    <t>Education</t>
  </si>
  <si>
    <t>2.40%</t>
  </si>
  <si>
    <t>Human Resources &amp; Outsourcing</t>
  </si>
  <si>
    <t>2.38%</t>
  </si>
  <si>
    <t>Diplomacy</t>
  </si>
  <si>
    <t>2.04%</t>
  </si>
  <si>
    <t>Pharmaceuticals &amp; Medical Technology</t>
  </si>
  <si>
    <t>1.81%</t>
  </si>
  <si>
    <t>Public Sector</t>
  </si>
  <si>
    <t>1.51%</t>
  </si>
  <si>
    <t>Others</t>
  </si>
  <si>
    <t>1.49%</t>
  </si>
  <si>
    <t>Nonprofit, Community &amp; Development</t>
  </si>
  <si>
    <t>1.44%</t>
  </si>
  <si>
    <t>Unknown</t>
  </si>
  <si>
    <t>1.38%</t>
  </si>
  <si>
    <t>Hospitality &amp; Leisure</t>
  </si>
  <si>
    <t>1.03%</t>
  </si>
  <si>
    <t>Business Process Outsourcing (Bpo) And Customer Experience (Cx)</t>
  </si>
  <si>
    <t>1.02%</t>
  </si>
  <si>
    <t>Automotive</t>
  </si>
  <si>
    <t>0.76%</t>
  </si>
  <si>
    <t>Banking &amp; Finance</t>
  </si>
  <si>
    <t>0.75%</t>
  </si>
  <si>
    <t>Media &amp; Entertainment</t>
  </si>
  <si>
    <t>0.73%</t>
  </si>
  <si>
    <t>Business And Trade Advocacy</t>
  </si>
  <si>
    <t>0.65%</t>
  </si>
  <si>
    <t>Healthcare &amp; Life Sciences</t>
  </si>
  <si>
    <t>0.52%</t>
  </si>
  <si>
    <t>Water Utilities &amp; Infrastructure</t>
  </si>
  <si>
    <t>0.26%</t>
  </si>
  <si>
    <t>Legal Services</t>
  </si>
  <si>
    <t>0.15%</t>
  </si>
  <si>
    <t>Manufacturing</t>
  </si>
  <si>
    <t>0.14%</t>
  </si>
  <si>
    <t>Energy &amp; Utilities</t>
  </si>
  <si>
    <t>0.09%</t>
  </si>
  <si>
    <t>Travel Technology / It Distribution</t>
  </si>
  <si>
    <t>0.04%</t>
  </si>
  <si>
    <t>1.9  Membership Demographic Profile</t>
  </si>
  <si>
    <t>Mean age (years)</t>
  </si>
  <si>
    <t>Median age (years)</t>
  </si>
  <si>
    <t>Share aged 61+</t>
  </si>
  <si>
    <t>Share under 20</t>
  </si>
  <si>
    <t>Old-age dependency (61+ per 20-60)</t>
  </si>
  <si>
    <t>Dependants per principal</t>
  </si>
  <si>
    <t>Male share of membership</t>
  </si>
  <si>
    <t>Female share of membership</t>
  </si>
  <si>
    <t>Male : Female ratio</t>
  </si>
  <si>
    <t>Describes the membership structure only, with no claims or cost measures.</t>
  </si>
  <si>
    <t>2.0  MOM GROWTH RATE COMPARISON</t>
  </si>
  <si>
    <t>Q3 - 2026 Membership</t>
  </si>
  <si>
    <t>Q2 - 2026 Membership</t>
  </si>
  <si>
    <t>Growth Rate</t>
  </si>
  <si>
    <t>There is a decline in membership over the Q2 - 2026 to Q3 - 2026 trend. Membership declined by 9.3% (2,959 lives), which may signal gradual churn, plan discontinuations, or non-renewals.</t>
  </si>
  <si>
    <t>3.0  MOM GROWTH RATE COMPARISON BY PORTFOLIO</t>
  </si>
  <si>
    <t>AGE DISTRIBUTION ANALYSIS</t>
  </si>
  <si>
    <t>Mean age is 28.9 years (median 31.0); the largest cohort is 25–29 (15.6% of active membership). The largest tenure band is &gt;12 months (74.9% of active members).</t>
  </si>
  <si>
    <t>1.0  AGE STATISTICS</t>
  </si>
  <si>
    <t>Age Statistics (n=28913)
  Mean: 28.9 years
  Median: 31.0 years
  Std Dev: 15.1 years
  Range: 0 – 94 years
  Q1 (25th percentile): 17.0 years
  Q3 (75th percentile): 39.0 years
  IQR: 22.0 years</t>
  </si>
  <si>
    <t>1.1  MEMBERSHIP BY AGE BAND AND GENDER (ACTIVE MEMBERS)</t>
  </si>
  <si>
    <t>AGE BAND</t>
  </si>
  <si>
    <t>TOTAL</t>
  </si>
  <si>
    <t>Under 20</t>
  </si>
  <si>
    <t>20 to 60</t>
  </si>
  <si>
    <t>61+</t>
  </si>
  <si>
    <t>2.0  AGE DISTRIBUTION BY 5-YEAR COHORTS</t>
  </si>
  <si>
    <t>AGE COHORT</t>
  </si>
  <si>
    <t>COUNT(MALE)</t>
  </si>
  <si>
    <t>COUNT(FEMALE)</t>
  </si>
  <si>
    <t>%</t>
  </si>
  <si>
    <t>0–4</t>
  </si>
  <si>
    <t>5–9</t>
  </si>
  <si>
    <t>10–14</t>
  </si>
  <si>
    <t>15–19</t>
  </si>
  <si>
    <t>20–24</t>
  </si>
  <si>
    <t>25–29</t>
  </si>
  <si>
    <t>30–34</t>
  </si>
  <si>
    <t>35–39</t>
  </si>
  <si>
    <t>40–44</t>
  </si>
  <si>
    <t>45–49</t>
  </si>
  <si>
    <t>50–54</t>
  </si>
  <si>
    <t>55–59</t>
  </si>
  <si>
    <t>60–64</t>
  </si>
  <si>
    <t>65+</t>
  </si>
  <si>
    <t>3.0  MEMBERSHIP BY AGE GROUP (ACTIVE LIVES, ADDITIONS, EXITS)</t>
  </si>
  <si>
    <t>ACTIVE LIVES</t>
  </si>
  <si>
    <t>ADDITIONS</t>
  </si>
  <si>
    <t>EXITS</t>
  </si>
  <si>
    <t>4.0  KEY FINDINGS</t>
  </si>
  <si>
    <t>The insured population shows a mean age of 28.9 years and a median of 31.0 years, indicating a relatively young population. The modal (most frequent) age group is 25–29 years, representing 15.6% of the population. Across broad cohorts: 26.8% are under 20 years, 72.8% are in the working-age range (20–64 years), and 0.4% are 65 years or older. A standard deviation of 15.1 years suggests considerable age diversity across the scheme.</t>
  </si>
  <si>
    <t>5.0  TENURE DISTRIBUTION (ACTIVE MEMBERS)</t>
  </si>
  <si>
    <t>TENURE BAND</t>
  </si>
  <si>
    <t>ACTIVE MEMBERS</t>
  </si>
  <si>
    <t>% OF ACTIVE MEMBERSHIP</t>
  </si>
  <si>
    <t>&lt;3 months</t>
  </si>
  <si>
    <t>3–6 months</t>
  </si>
  <si>
    <t>6–9 months</t>
  </si>
  <si>
    <t>9–12 months</t>
  </si>
  <si>
    <t>&gt;12 months</t>
  </si>
  <si>
    <t>Of the 28,911 active members with a valid Join Date, the largest proportion (74.9%) fall in the &gt;12 months tenure band. This suggests the active population is currently weighted toward a longer-tenured, more established membership base.</t>
  </si>
  <si>
    <t>6.0  POPULATION WISE ANALYSIS</t>
  </si>
  <si>
    <t>This section describes the demographic structure of the active insured population using 28,913 members in the requested age bands with valid age data. It focuses on population composition and does not include claims or utilization measures.</t>
  </si>
  <si>
    <t>6.1  BROAD AGE STRUCTURE</t>
  </si>
  <si>
    <t>POPULATION_AGE_GROUP</t>
  </si>
  <si>
    <t>ACTIVE_MEMBERS</t>
  </si>
  <si>
    <t>PCT_OF_AGE_VALID_POPULATION</t>
  </si>
  <si>
    <t>6.2  AGE DEPENDENCY STRUCTURE</t>
  </si>
  <si>
    <t>METRIC</t>
  </si>
  <si>
    <t>DEPENDENT_POPULATION</t>
  </si>
  <si>
    <t>REFERENCE_POPULATION</t>
  </si>
  <si>
    <t>RATIO</t>
  </si>
  <si>
    <t>RATIO_FORMAT</t>
  </si>
  <si>
    <t>Child Dependency Ratio</t>
  </si>
  <si>
    <t>1 : 0.37</t>
  </si>
  <si>
    <t>Old Age Dependency Ratio</t>
  </si>
  <si>
    <t>Total Age Dependency Ratio</t>
  </si>
  <si>
    <t>1 : 0.39</t>
  </si>
  <si>
    <t>6.3  POPULATION STRUCTURE BY MEMBER TYPE</t>
  </si>
  <si>
    <t>MEMBER TYPE</t>
  </si>
  <si>
    <t>Principal</t>
  </si>
  <si>
    <t>Child Dependent</t>
  </si>
  <si>
    <t>Adult Dependent</t>
  </si>
  <si>
    <t>6.4  POPULATION STRUCTURE BY RELATIONSHIP TYPE</t>
  </si>
  <si>
    <t>No valid data available for this population analysis.</t>
  </si>
  <si>
    <t>6.5  POPULATION STRUCTURE BY INDUSTRY</t>
  </si>
  <si>
    <t>INDUSTRY</t>
  </si>
  <si>
    <t>6.6  POPULATION STRUCTURE BY TOP 10 CLIENT COMPANIES</t>
  </si>
  <si>
    <t>COMPANY</t>
  </si>
  <si>
    <t>6.7  POPULATION STRUCTURE BY PLAN GROUP</t>
  </si>
  <si>
    <t>PLAN_GROUP</t>
  </si>
  <si>
    <t>BY CLIENT — ACTIVE LIVES, ADDITIONS &amp; EXITS</t>
  </si>
  <si>
    <t>The top 5 client companies account for 7,008 active members (24.2% of total active membership of 28,914), while the top 10 client companies account for 10,569 active members (36.6%). These percentages show the distribution of active membership across the largest client accounts.</t>
  </si>
  <si>
    <t>ACTIVE_LIVES</t>
  </si>
  <si>
    <t>MEMBERSHIP CONCENTRATION (ACTIVE MEMBERS, TOP CLIENTS)</t>
  </si>
  <si>
    <t>Active Members</t>
  </si>
  <si>
    <t>% of Total Active Membership</t>
  </si>
  <si>
    <t>Total Active Membership</t>
  </si>
  <si>
    <t>Top 5 Companies</t>
  </si>
  <si>
    <t>Top 10 Companies</t>
  </si>
  <si>
    <t>COM MEM — COMPANY MEMBERSHIP COMPOSITION &amp; CONCENTRATION</t>
  </si>
  <si>
    <t>Portfolio company count and share are shown at the top, followed by company-level active membership, principal/dependant composition and share of total active population.</t>
  </si>
  <si>
    <t>PORTFOLIO</t>
  </si>
  <si>
    <t>NUMBER_OF_COMPANIES</t>
  </si>
  <si>
    <t>PERCENTAGE</t>
  </si>
  <si>
    <t>PRINCIPALS</t>
  </si>
  <si>
    <t>DEPENDANTS</t>
  </si>
  <si>
    <t>PRINCIPAL_%</t>
  </si>
  <si>
    <t>DEPENDANT_%</t>
  </si>
  <si>
    <t>DEPENDANTS_PER_PRINCIPAL</t>
  </si>
  <si>
    <t>SHARE_OF_POPULATION</t>
  </si>
  <si>
    <t>INDUSTRY MEM — INDUSTRY MEMBERSHIP COMPOSITION</t>
  </si>
  <si>
    <t>Industry-level active membership, principal/dependant composition and share of total active population.</t>
  </si>
  <si>
    <t>MEMBERSHIP TREND — MONTHLY &amp; QUARTERLY</t>
  </si>
  <si>
    <t>Historical active-membership figures are entered directly in the CONFIG block. Percentage changes are calculated from the immediately preceding available period.</t>
  </si>
  <si>
    <t>MONTH</t>
  </si>
  <si>
    <t>CHANGE</t>
  </si>
  <si>
    <t>CHANGE_%</t>
  </si>
  <si>
    <t>JANUARY 2026</t>
  </si>
  <si>
    <t>FEBRUARY 2026</t>
  </si>
  <si>
    <t>MARCH 2026</t>
  </si>
  <si>
    <t>APRIL 2026</t>
  </si>
  <si>
    <t>MAY 2026</t>
  </si>
  <si>
    <t>JUNE 2026</t>
  </si>
  <si>
    <t>JULY 2026</t>
  </si>
  <si>
    <t>AUGUST 2026</t>
  </si>
  <si>
    <t>SEPTEMBER 2026</t>
  </si>
  <si>
    <t>MONTHLY TREND SUMMARY</t>
  </si>
  <si>
    <t>The latest period (SEPTEMBER 2026) recorded 28,914 active members, a change of -2,959 (-9.3%) from the preceding period. Across the available periods, membership changed by -10,153 (-26.0%) from JANUARY 2026 to SEPTEMBER 2026. The highest recorded membership was 39,067 in JANUARY 2026, while the lowest was 28,914 in SEPTEMBER 2026.</t>
  </si>
  <si>
    <t>QUARTER</t>
  </si>
  <si>
    <t>Q1 2026</t>
  </si>
  <si>
    <t>Q2 2026</t>
  </si>
  <si>
    <t>Q3 2026</t>
  </si>
  <si>
    <t>QUARTERLY TREND SUMMARY</t>
  </si>
  <si>
    <t>The latest period (Q3 2026) recorded 28,914 active members, a change of -5,273 (-15.4%) from the preceding period. Across the available periods, membership changed by -10,024 (-25.7%) from Q1 2026 to Q3 2026. The highest recorded membership was 38,938 in Q1 2026, while the lowest was 28,914 in Q3 2026.</t>
  </si>
  <si>
    <t>Ben Ltd.</t>
  </si>
  <si>
    <t>↑ 20.0%</t>
  </si>
  <si>
    <t>↓ -17.5%</t>
  </si>
  <si>
    <t>↑ 20.4%</t>
  </si>
  <si>
    <t>↓ -13.3%</t>
  </si>
  <si>
    <t>↓ -15.4%</t>
  </si>
  <si>
    <t>↓ -22.0%</t>
  </si>
  <si>
    <t>↓ -31.7%</t>
  </si>
  <si>
    <t>↑ 3.5%</t>
  </si>
  <si>
    <t xml:space="preserve"> SILVER</t>
  </si>
  <si>
    <t xml:space="preserve"> GOLD</t>
  </si>
  <si>
    <t xml:space="preserve"> BRONZE</t>
  </si>
  <si>
    <t xml:space="preserve"> PLATINUM PLUS</t>
  </si>
  <si>
    <t xml:space="preserve"> PLATINUM</t>
  </si>
  <si>
    <t>Total active membership for Q3 - 2026 is 28,914 lives across 379 client companies, with  SILVER the largest plan (26.7%). There is a decline in membership over the Q2 - 2026 to Q3 - 2026 trend. Membership declined by 9.3% (2,959 lives), which may signal gradual churn, plan discontinuations, or non-renewals. For every 1 principal (employee) member on the scheme, there are 0.69 dependent(s) — a ratio of 1 : 0.69. For every 1 male member on the scheme, there are 0.72 female member(s) — a ratio of 1 : 0.72. The top 5 client companies account for 7,008 active members (24.2% of total active membership of 28,914), while the top 10 client companies account for 10,569 active members (36.6%). These percentages show the distribution of active membership across the largest client accounts.</t>
  </si>
  <si>
    <t xml:space="preserve"> SILVER is the largest plan, representing 26.7% of active membership (7,710 members).</t>
  </si>
  <si>
    <t>As at the end of Q3 - 2026, total population stood at 28,914. Further breakdown indicates that  SILVER (26.67%) has the highest number of enrolled lives, followed by  GOLD (24.41%).</t>
  </si>
  <si>
    <t>COMPANY GHANA is the largest client by active membership, with 2,772 members (9.6% of total active membership).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</si>
</sst>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8" x14ac:knownFonts="1">
    <font>
      <sz val="11"/>
      <color theme="1"/>
      <name val="Calibri"/>
      <family val="2"/>
      <scheme val="minor"/>
    </font>
    <font>
      <b/>
      <sz val="10"/>
      <color rgb="FFFFFFFF"/>
      <name val="Arial"/>
      <family val="2"/>
    </font>
    <font>
      <sz val="10"/>
      <name val="Arial"/>
      <family val="2"/>
    </font>
    <font>
      <b/>
      <sz val="10"/>
      <name val="Arial"/>
      <family val="2"/>
    </font>
    <font>
      <b/>
      <sz val="13"/>
      <color rgb="FFFFFFFF"/>
      <name val="Arial"/>
      <family val="2"/>
    </font>
    <font>
      <i/>
      <sz val="10"/>
      <name val="Arial"/>
      <family val="2"/>
    </font>
    <font>
      <b/>
      <sz val="11"/>
      <color rgb="FFFFFFFF"/>
      <name val="Arial"/>
      <family val="2"/>
    </font>
    <font>
      <b/>
      <sz val="12"/>
      <color rgb="FFFFFFFF"/>
      <name val="Arial"/>
      <family val="2"/>
    </font>
    <font>
      <b/>
      <sz val="14"/>
      <color rgb="FFFFFFFF"/>
      <name val="Arial"/>
      <family val="2"/>
    </font>
    <font>
      <b/>
      <sz val="11"/>
      <color rgb="FF1F3864"/>
      <name val="Arial"/>
      <family val="2"/>
    </font>
    <font>
      <sz val="9"/>
      <name val="Courier New"/>
      <family val="3"/>
    </font>
    <font>
      <b/>
      <sz val="11"/>
      <name val="Arial"/>
      <family val="2"/>
    </font>
    <font>
      <b/>
      <sz val="9"/>
      <color rgb="FFFFFFFF"/>
      <name val="Arial"/>
      <family val="2"/>
    </font>
    <font>
      <sz val="9"/>
      <name val="Arial"/>
      <family val="2"/>
    </font>
    <font>
      <b/>
      <sz val="22"/>
      <color rgb="FF1F3864"/>
      <name val="Arial"/>
      <family val="2"/>
    </font>
    <font>
      <b/>
      <sz val="16"/>
      <color rgb="FFFFFFFF"/>
      <name val="Arial"/>
      <family val="2"/>
    </font>
    <font>
      <sz val="11"/>
      <name val="Arial"/>
      <family val="2"/>
    </font>
    <font>
      <sz val="11"/>
      <color theme="1"/>
      <name val="Calibri"/>
      <family val="2"/>
      <scheme val="minor"/>
    </font>
  </fonts>
  <fills count="5">
    <fill>
      <patternFill patternType="none"/>
    </fill>
    <fill>
      <patternFill patternType="gray125"/>
    </fill>
    <fill>
      <patternFill patternType="solid">
        <fgColor rgb="FF1F3864"/>
        <bgColor rgb="FF1F3864"/>
      </patternFill>
    </fill>
    <fill>
      <patternFill patternType="solid">
        <fgColor rgb="FFD9E1F2"/>
        <bgColor rgb="FFD9E1F2"/>
      </patternFill>
    </fill>
    <fill>
      <patternFill patternType="solid">
        <fgColor rgb="FF2E5395"/>
        <bgColor rgb="FF2E5395"/>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2">
    <xf numFmtId="0" fontId="0" fillId="0" borderId="0"/>
    <xf numFmtId="9" fontId="17" fillId="0" borderId="0" applyFont="0" applyFill="0" applyBorder="0" applyAlignment="0" applyProtection="0"/>
  </cellStyleXfs>
  <cellXfs count="56">
    <xf numFmtId="0" fontId="0" fillId="0" borderId="0" xfId="0"/>
    <xf numFmtId="0" fontId="1" fillId="4" borderId="1" xfId="0" applyFont="1" applyFill="1" applyBorder="1" applyAlignment="1">
      <alignment horizontal="center"/>
    </xf>
    <xf numFmtId="0" fontId="2" fillId="0" borderId="1" xfId="0" applyFont="1" applyBorder="1"/>
    <xf numFmtId="0" fontId="5" fillId="0" borderId="0" xfId="0" applyFont="1"/>
    <xf numFmtId="3" fontId="2" fillId="0" borderId="1" xfId="0" applyNumberFormat="1" applyFont="1" applyBorder="1" applyAlignment="1">
      <alignment horizontal="right"/>
    </xf>
    <xf numFmtId="0" fontId="2" fillId="0" borderId="1" xfId="0" applyFont="1" applyBorder="1" applyAlignment="1">
      <alignment horizontal="right"/>
    </xf>
    <xf numFmtId="0" fontId="3" fillId="0" borderId="1" xfId="0" applyFont="1" applyBorder="1"/>
    <xf numFmtId="3" fontId="3" fillId="0" borderId="1" xfId="0" applyNumberFormat="1" applyFont="1" applyBorder="1" applyAlignment="1">
      <alignment horizontal="right"/>
    </xf>
    <xf numFmtId="0" fontId="3" fillId="0" borderId="1" xfId="0" applyFont="1" applyBorder="1" applyAlignment="1">
      <alignment horizontal="right"/>
    </xf>
    <xf numFmtId="0" fontId="2" fillId="0" borderId="1" xfId="0" applyFont="1" applyBorder="1" applyAlignment="1">
      <alignment horizontal="left"/>
    </xf>
    <xf numFmtId="0" fontId="11" fillId="3" borderId="1" xfId="0" applyFont="1" applyFill="1" applyBorder="1"/>
    <xf numFmtId="3" fontId="11" fillId="3" borderId="1" xfId="0" applyNumberFormat="1" applyFont="1" applyFill="1" applyBorder="1" applyAlignment="1">
      <alignment horizontal="right"/>
    </xf>
    <xf numFmtId="0" fontId="0" fillId="0" borderId="1" xfId="0" applyBorder="1" applyAlignment="1">
      <alignment horizontal="left"/>
    </xf>
    <xf numFmtId="3" fontId="0" fillId="0" borderId="1" xfId="0" applyNumberFormat="1" applyBorder="1" applyAlignment="1">
      <alignment horizontal="right"/>
    </xf>
    <xf numFmtId="10" fontId="0" fillId="0" borderId="1" xfId="0" applyNumberFormat="1" applyBorder="1" applyAlignment="1">
      <alignment horizontal="right"/>
    </xf>
    <xf numFmtId="10" fontId="11" fillId="3" borderId="1" xfId="0" applyNumberFormat="1" applyFont="1" applyFill="1" applyBorder="1" applyAlignment="1">
      <alignment horizontal="right"/>
    </xf>
    <xf numFmtId="0" fontId="12" fillId="4" borderId="1" xfId="0" applyFont="1" applyFill="1" applyBorder="1" applyAlignment="1">
      <alignment horizontal="center" vertical="center" wrapText="1"/>
    </xf>
    <xf numFmtId="0" fontId="13" fillId="0" borderId="1" xfId="0" applyFont="1" applyBorder="1" applyAlignment="1">
      <alignment horizontal="left"/>
    </xf>
    <xf numFmtId="3" fontId="13" fillId="0" borderId="1" xfId="0" applyNumberFormat="1" applyFont="1" applyBorder="1" applyAlignment="1">
      <alignment horizontal="right"/>
    </xf>
    <xf numFmtId="164" fontId="13" fillId="0" borderId="1" xfId="0" applyNumberFormat="1" applyFont="1" applyBorder="1" applyAlignment="1">
      <alignment horizontal="right"/>
    </xf>
    <xf numFmtId="2" fontId="13" fillId="0" borderId="1" xfId="0" applyNumberFormat="1" applyFont="1" applyBorder="1" applyAlignment="1">
      <alignment horizontal="right"/>
    </xf>
    <xf numFmtId="0" fontId="1" fillId="2" borderId="1" xfId="0" applyFont="1" applyFill="1" applyBorder="1" applyAlignment="1">
      <alignment horizontal="center" vertical="center" wrapText="1"/>
    </xf>
    <xf numFmtId="3" fontId="3" fillId="3" borderId="1" xfId="0" applyNumberFormat="1" applyFont="1" applyFill="1" applyBorder="1" applyAlignment="1">
      <alignment horizontal="right"/>
    </xf>
    <xf numFmtId="164" fontId="2" fillId="0" borderId="1" xfId="0" applyNumberFormat="1" applyFont="1" applyBorder="1" applyAlignment="1">
      <alignment horizontal="right"/>
    </xf>
    <xf numFmtId="0" fontId="3" fillId="3" borderId="1" xfId="0" applyFont="1" applyFill="1" applyBorder="1" applyAlignment="1">
      <alignment horizontal="left"/>
    </xf>
    <xf numFmtId="164" fontId="3" fillId="3" borderId="1" xfId="0" applyNumberFormat="1" applyFont="1" applyFill="1" applyBorder="1" applyAlignment="1">
      <alignment horizontal="right"/>
    </xf>
    <xf numFmtId="3" fontId="2" fillId="0" borderId="1" xfId="0" applyNumberFormat="1" applyFont="1" applyBorder="1"/>
    <xf numFmtId="10" fontId="2" fillId="0" borderId="1" xfId="0" applyNumberFormat="1" applyFont="1" applyBorder="1" applyAlignment="1">
      <alignment horizontal="right"/>
    </xf>
    <xf numFmtId="10" fontId="0" fillId="0" borderId="0" xfId="1" applyNumberFormat="1" applyFont="1"/>
    <xf numFmtId="4" fontId="2" fillId="0" borderId="1" xfId="0" applyNumberFormat="1" applyFont="1" applyBorder="1" applyAlignment="1">
      <alignment horizontal="right"/>
    </xf>
    <xf numFmtId="10" fontId="2" fillId="0" borderId="1" xfId="1" applyNumberFormat="1" applyFont="1" applyBorder="1" applyAlignment="1">
      <alignment horizontal="right"/>
    </xf>
    <xf numFmtId="165" fontId="2" fillId="0" borderId="1" xfId="0" applyNumberFormat="1" applyFont="1" applyBorder="1" applyAlignment="1">
      <alignment horizontal="right"/>
    </xf>
    <xf numFmtId="0" fontId="4" fillId="2" borderId="0" xfId="0" applyFont="1" applyFill="1" applyAlignment="1">
      <alignment horizontal="left" vertical="center" indent="1"/>
    </xf>
    <xf numFmtId="0" fontId="0" fillId="0" borderId="0" xfId="0"/>
    <xf numFmtId="0" fontId="6" fillId="4" borderId="0" xfId="0" applyFont="1" applyFill="1" applyAlignment="1">
      <alignment horizontal="left" vertical="center" indent="1"/>
    </xf>
    <xf numFmtId="0" fontId="5" fillId="0" borderId="1" xfId="0" applyFont="1" applyBorder="1" applyAlignment="1">
      <alignmen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applyAlignment="1">
      <alignment vertical="top" wrapText="1"/>
    </xf>
    <xf numFmtId="0" fontId="6" fillId="4" borderId="1" xfId="0" applyFont="1" applyFill="1" applyBorder="1" applyAlignment="1">
      <alignment horizontal="left" vertical="center" indent="1"/>
    </xf>
    <xf numFmtId="0" fontId="0" fillId="0" borderId="4" xfId="0" applyBorder="1"/>
    <xf numFmtId="0" fontId="0" fillId="0" borderId="5" xfId="0" applyBorder="1"/>
    <xf numFmtId="0" fontId="14" fillId="0" borderId="0" xfId="0" applyFont="1" applyAlignment="1">
      <alignment horizontal="center" vertical="center"/>
    </xf>
    <xf numFmtId="0" fontId="16" fillId="0" borderId="0" xfId="0" applyFont="1" applyAlignment="1">
      <alignment horizontal="left"/>
    </xf>
    <xf numFmtId="0" fontId="15" fillId="2" borderId="0" xfId="0" applyFont="1" applyFill="1" applyAlignment="1">
      <alignment horizontal="center" vertical="center"/>
    </xf>
    <xf numFmtId="0" fontId="16" fillId="0" borderId="0" xfId="0" applyFont="1" applyAlignment="1">
      <alignment horizontal="justify" vertical="top" wrapText="1"/>
    </xf>
    <xf numFmtId="0" fontId="9" fillId="0" borderId="0" xfId="0" applyFont="1" applyAlignment="1">
      <alignment horizontal="right"/>
    </xf>
    <xf numFmtId="0" fontId="8" fillId="2" borderId="0" xfId="0" applyFont="1" applyFill="1" applyAlignment="1">
      <alignment horizontal="left" vertical="center" indent="1"/>
    </xf>
    <xf numFmtId="0" fontId="9" fillId="0" borderId="0" xfId="0" applyFont="1"/>
    <xf numFmtId="0" fontId="10" fillId="0" borderId="0" xfId="0" applyFont="1" applyAlignment="1">
      <alignment vertical="top" wrapText="1"/>
    </xf>
    <xf numFmtId="0" fontId="7" fillId="2" borderId="0" xfId="0" applyFont="1" applyFill="1" applyAlignment="1">
      <alignment horizontal="left" vertical="center" indent="1"/>
    </xf>
  </cellXfs>
  <cellStyles count="2">
    <cellStyle name="Normal" xfId="0" builtinId="0"/>
    <cellStyle name="Percent" xfId="1" builtinId="5"/>
  </cellStyles>
  <dxfs count="0"/>
  <tableStyles count="1" defaultTableStyle="TableStyleMedium9" defaultPivotStyle="PivotStyleLight16">
    <tableStyle name="Invisible" pivot="0" table="0" count="0" xr9:uid="{0DD4834D-E280-4167-A20C-BF5AE73CEF6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sz="2000"/>
            </a:pPr>
            <a:r>
              <a:rPr lang="en-US" sz="2000"/>
              <a:t>AGE DISTRIBUTION BY GENDER</a:t>
            </a:r>
          </a:p>
        </c:rich>
      </c:tx>
      <c:overlay val="1"/>
    </c:title>
    <c:autoTitleDeleted val="0"/>
    <c:plotArea>
      <c:layout>
        <c:manualLayout>
          <c:layoutTarget val="inner"/>
          <c:xMode val="edge"/>
          <c:yMode val="edge"/>
          <c:x val="4.1966978164306862E-2"/>
          <c:y val="0.10661099555951732"/>
          <c:w val="0.94605827765977324"/>
          <c:h val="0.69472362534871823"/>
        </c:manualLayout>
      </c:layout>
      <c:barChart>
        <c:barDir val="col"/>
        <c:grouping val="clustered"/>
        <c:varyColors val="1"/>
        <c:ser>
          <c:idx val="0"/>
          <c:order val="0"/>
          <c:tx>
            <c:strRef>
              <c:f>'Age Analysis'!$C$29</c:f>
              <c:strCache>
                <c:ptCount val="1"/>
                <c:pt idx="0">
                  <c:v>COUNT(MALE)</c:v>
                </c:pt>
              </c:strCache>
            </c:strRef>
          </c:tx>
          <c:spPr>
            <a:ln>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'Age Analysis'!$B$30:$B$43</c:f>
              <c:strCache>
                <c:ptCount val="14"/>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c:v>
                </c:pt>
              </c:strCache>
            </c:strRef>
          </c:cat>
          <c:val>
            <c:numRef>
              <c:f>'Age Analysis'!$C$30:$C$43</c:f>
              <c:numCache>
                <c:formatCode>#,##0</c:formatCode>
                <c:ptCount val="14"/>
                <c:pt idx="0">
                  <c:v>1137</c:v>
                </c:pt>
                <c:pt idx="1">
                  <c:v>1400</c:v>
                </c:pt>
                <c:pt idx="2">
                  <c:v>1027</c:v>
                </c:pt>
                <c:pt idx="3">
                  <c:v>568</c:v>
                </c:pt>
                <c:pt idx="4">
                  <c:v>726</c:v>
                </c:pt>
                <c:pt idx="5">
                  <c:v>2443</c:v>
                </c:pt>
                <c:pt idx="6">
                  <c:v>2429</c:v>
                </c:pt>
                <c:pt idx="7">
                  <c:v>2384</c:v>
                </c:pt>
                <c:pt idx="8">
                  <c:v>1838</c:v>
                </c:pt>
                <c:pt idx="9">
                  <c:v>1264</c:v>
                </c:pt>
                <c:pt idx="10">
                  <c:v>859</c:v>
                </c:pt>
                <c:pt idx="11">
                  <c:v>467</c:v>
                </c:pt>
                <c:pt idx="12">
                  <c:v>159</c:v>
                </c:pt>
                <c:pt idx="13">
                  <c:v>84</c:v>
                </c:pt>
              </c:numCache>
            </c:numRef>
          </c:val>
          <c:extLst>
            <c:ext xmlns:c16="http://schemas.microsoft.com/office/drawing/2014/chart" uri="{C3380CC4-5D6E-409C-BE32-E72D297353CC}">
              <c16:uniqueId val="{00000000-B91E-4681-84EE-7AE61D26F176}"/>
            </c:ext>
          </c:extLst>
        </c:ser>
        <c:ser>
          <c:idx val="1"/>
          <c:order val="1"/>
          <c:tx>
            <c:strRef>
              <c:f>'Age Analysis'!$D$29</c:f>
              <c:strCache>
                <c:ptCount val="1"/>
                <c:pt idx="0">
                  <c:v>COUNT(FEMALE)</c:v>
                </c:pt>
              </c:strCache>
            </c:strRef>
          </c:tx>
          <c:spPr>
            <a:ln>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'Age Analysis'!$B$30:$B$43</c:f>
              <c:strCache>
                <c:ptCount val="14"/>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c:v>
                </c:pt>
              </c:strCache>
            </c:strRef>
          </c:cat>
          <c:val>
            <c:numRef>
              <c:f>'Age Analysis'!$D$30:$D$43</c:f>
              <c:numCache>
                <c:formatCode>#,##0</c:formatCode>
                <c:ptCount val="14"/>
                <c:pt idx="0">
                  <c:v>941</c:v>
                </c:pt>
                <c:pt idx="1">
                  <c:v>1189</c:v>
                </c:pt>
                <c:pt idx="2">
                  <c:v>943</c:v>
                </c:pt>
                <c:pt idx="3">
                  <c:v>546</c:v>
                </c:pt>
                <c:pt idx="4">
                  <c:v>623</c:v>
                </c:pt>
                <c:pt idx="5">
                  <c:v>2078</c:v>
                </c:pt>
                <c:pt idx="6">
                  <c:v>1903</c:v>
                </c:pt>
                <c:pt idx="7">
                  <c:v>1554</c:v>
                </c:pt>
                <c:pt idx="8">
                  <c:v>1108</c:v>
                </c:pt>
                <c:pt idx="9">
                  <c:v>561</c:v>
                </c:pt>
                <c:pt idx="10">
                  <c:v>351</c:v>
                </c:pt>
                <c:pt idx="11">
                  <c:v>212</c:v>
                </c:pt>
                <c:pt idx="12">
                  <c:v>86</c:v>
                </c:pt>
                <c:pt idx="13">
                  <c:v>33</c:v>
                </c:pt>
              </c:numCache>
            </c:numRef>
          </c:val>
          <c:extLst>
            <c:ext xmlns:c16="http://schemas.microsoft.com/office/drawing/2014/chart" uri="{C3380CC4-5D6E-409C-BE32-E72D297353CC}">
              <c16:uniqueId val="{00000001-B91E-4681-84EE-7AE61D26F176}"/>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Age Cohort</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title>
          <c:tx>
            <c:rich>
              <a:bodyPr/>
              <a:lstStyle/>
              <a:p>
                <a:pPr>
                  <a:defRPr/>
                </a:pPr>
                <a:r>
                  <a:rPr lang="en-US"/>
                  <a:t>Number of Members</a:t>
                </a:r>
              </a:p>
            </c:rich>
          </c:tx>
          <c:overlay val="1"/>
        </c:title>
        <c:numFmt formatCode="#,##0" sourceLinked="1"/>
        <c:majorTickMark val="out"/>
        <c:minorTickMark val="none"/>
        <c:tickLblPos val="nextTo"/>
        <c:crossAx val="10"/>
        <c:crosses val="autoZero"/>
        <c:crossBetween val="between"/>
      </c:valAx>
      <c:spPr>
        <a:noFill/>
        <a:ln w="25400">
          <a:noFill/>
        </a:ln>
      </c:spPr>
    </c:plotArea>
    <c:legend>
      <c:legendPos val="t"/>
      <c:layout>
        <c:manualLayout>
          <c:xMode val="edge"/>
          <c:yMode val="edge"/>
          <c:x val="0.40106058346233825"/>
          <c:y val="5.8168942842690946E-2"/>
          <c:w val="0.19570152114395237"/>
          <c:h val="4.2809927523264138E-2"/>
        </c:manualLayout>
      </c:layout>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Active Lives by Age Cohort</a:t>
            </a:r>
          </a:p>
        </c:rich>
      </c:tx>
      <c:overlay val="1"/>
    </c:title>
    <c:autoTitleDeleted val="0"/>
    <c:plotArea>
      <c:layout/>
      <c:barChart>
        <c:barDir val="col"/>
        <c:grouping val="clustered"/>
        <c:varyColors val="1"/>
        <c:ser>
          <c:idx val="0"/>
          <c:order val="0"/>
          <c:tx>
            <c:strRef>
              <c:f>'Age Analysis'!$C$85</c:f>
              <c:strCache>
                <c:ptCount val="1"/>
                <c:pt idx="0">
                  <c:v>ACTIVE LIVES</c:v>
                </c:pt>
              </c:strCache>
            </c:strRef>
          </c:tx>
          <c:spPr>
            <a:solidFill>
              <a:srgbClr val="2E5395"/>
            </a:solidFill>
            <a:ln>
              <a:prstDash val="solid"/>
            </a:ln>
          </c:spPr>
          <c:invertIfNegative val="1"/>
          <c:cat>
            <c:strRef>
              <c:f>'Age Analysis'!$B$86:$B$99</c:f>
              <c:strCache>
                <c:ptCount val="14"/>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c:v>
                </c:pt>
              </c:strCache>
            </c:strRef>
          </c:cat>
          <c:val>
            <c:numRef>
              <c:f>'Age Analysis'!$C$86:$C$99</c:f>
              <c:numCache>
                <c:formatCode>#,##0</c:formatCode>
                <c:ptCount val="14"/>
                <c:pt idx="0">
                  <c:v>2078</c:v>
                </c:pt>
                <c:pt idx="1">
                  <c:v>2589</c:v>
                </c:pt>
                <c:pt idx="2">
                  <c:v>1970</c:v>
                </c:pt>
                <c:pt idx="3">
                  <c:v>1114</c:v>
                </c:pt>
                <c:pt idx="4">
                  <c:v>1349</c:v>
                </c:pt>
                <c:pt idx="5">
                  <c:v>4521</c:v>
                </c:pt>
                <c:pt idx="6">
                  <c:v>4332</c:v>
                </c:pt>
                <c:pt idx="7">
                  <c:v>3938</c:v>
                </c:pt>
                <c:pt idx="8">
                  <c:v>2946</c:v>
                </c:pt>
                <c:pt idx="9">
                  <c:v>1825</c:v>
                </c:pt>
                <c:pt idx="10">
                  <c:v>1210</c:v>
                </c:pt>
                <c:pt idx="11">
                  <c:v>679</c:v>
                </c:pt>
                <c:pt idx="12">
                  <c:v>245</c:v>
                </c:pt>
                <c:pt idx="13">
                  <c:v>117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624A-43DF-9530-E4C5BB4A2348}"/>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Age Cohort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Active Lives</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Active Members by Tenure Band</a:t>
            </a:r>
          </a:p>
        </c:rich>
      </c:tx>
      <c:overlay val="1"/>
    </c:title>
    <c:autoTitleDeleted val="0"/>
    <c:plotArea>
      <c:layout>
        <c:manualLayout>
          <c:layoutTarget val="inner"/>
          <c:xMode val="edge"/>
          <c:yMode val="edge"/>
          <c:x val="0.12925086805555555"/>
          <c:y val="8.8646527777777762E-2"/>
          <c:w val="0.81238750000000004"/>
          <c:h val="0.7611951388888889"/>
        </c:manualLayout>
      </c:layout>
      <c:barChart>
        <c:barDir val="col"/>
        <c:grouping val="clustered"/>
        <c:varyColors val="1"/>
        <c:ser>
          <c:idx val="0"/>
          <c:order val="0"/>
          <c:tx>
            <c:strRef>
              <c:f>'Age Analysis'!$C$131</c:f>
              <c:strCache>
                <c:ptCount val="1"/>
                <c:pt idx="0">
                  <c:v>ACTIVE MEMBERS</c:v>
                </c:pt>
              </c:strCache>
            </c:strRef>
          </c:tx>
          <c:spPr>
            <a:solidFill>
              <a:srgbClr val="2E5395"/>
            </a:solidFill>
            <a:ln>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'Age Analysis'!$B$132:$B$136</c:f>
              <c:strCache>
                <c:ptCount val="5"/>
                <c:pt idx="0">
                  <c:v>&lt;3 months</c:v>
                </c:pt>
                <c:pt idx="1">
                  <c:v>3–6 months</c:v>
                </c:pt>
                <c:pt idx="2">
                  <c:v>6–9 months</c:v>
                </c:pt>
                <c:pt idx="3">
                  <c:v>9–12 months</c:v>
                </c:pt>
                <c:pt idx="4">
                  <c:v>&gt;12 months</c:v>
                </c:pt>
              </c:strCache>
            </c:strRef>
          </c:cat>
          <c:val>
            <c:numRef>
              <c:f>'Age Analysis'!$C$132:$C$136</c:f>
              <c:numCache>
                <c:formatCode>#,##0</c:formatCode>
                <c:ptCount val="5"/>
                <c:pt idx="0">
                  <c:v>1566</c:v>
                </c:pt>
                <c:pt idx="1">
                  <c:v>1649</c:v>
                </c:pt>
                <c:pt idx="2">
                  <c:v>2030</c:v>
                </c:pt>
                <c:pt idx="3">
                  <c:v>1998</c:v>
                </c:pt>
                <c:pt idx="4">
                  <c:v>21668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538-44D0-945F-E91F2E397C9E}"/>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Tenure Band</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Active Members</a:t>
                </a:r>
              </a:p>
            </c:rich>
          </c:tx>
          <c:overlay val="1"/>
        </c:title>
        <c:numFmt formatCode="#,##0" sourceLinked="1"/>
        <c:majorTickMark val="out"/>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15240</xdr:colOff>
      <xdr:row>47</xdr:row>
      <xdr:rowOff>7620</xdr:rowOff>
    </xdr:from>
    <xdr:ext cx="11666220" cy="536448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102</xdr:row>
      <xdr:rowOff>0</xdr:rowOff>
    </xdr:from>
    <xdr:ext cx="4680000" cy="288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139</xdr:row>
      <xdr:rowOff>0</xdr:rowOff>
    </xdr:from>
    <xdr:ext cx="5760000" cy="2880000"/>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H35"/>
  <sheetViews>
    <sheetView showGridLines="0" topLeftCell="A15" workbookViewId="0">
      <selection activeCell="E15" sqref="E15:G15"/>
    </sheetView>
  </sheetViews>
  <sheetFormatPr defaultRowHeight="14.4" x14ac:dyDescent="0.3"/>
  <cols>
    <col min="1" max="1" width="3" customWidth="1"/>
    <col min="2" max="8" width="14" customWidth="1"/>
  </cols>
  <sheetData>
    <row r="4" spans="2:8" x14ac:dyDescent="0.3">
      <c r="B4" s="47" t="s">
        <v>307</v>
      </c>
      <c r="C4" s="33"/>
      <c r="D4" s="33"/>
      <c r="E4" s="33"/>
      <c r="F4" s="33"/>
      <c r="G4" s="33"/>
      <c r="H4" s="33"/>
    </row>
    <row r="5" spans="2:8" x14ac:dyDescent="0.3">
      <c r="B5" s="33"/>
      <c r="C5" s="33"/>
      <c r="D5" s="33"/>
      <c r="E5" s="33"/>
      <c r="F5" s="33"/>
      <c r="G5" s="33"/>
      <c r="H5" s="33"/>
    </row>
    <row r="8" spans="2:8" x14ac:dyDescent="0.3">
      <c r="B8" s="49" t="s">
        <v>0</v>
      </c>
      <c r="C8" s="33"/>
      <c r="D8" s="33"/>
      <c r="E8" s="33"/>
      <c r="F8" s="33"/>
      <c r="G8" s="33"/>
      <c r="H8" s="33"/>
    </row>
    <row r="9" spans="2:8" x14ac:dyDescent="0.3">
      <c r="B9" s="33"/>
      <c r="C9" s="33"/>
      <c r="D9" s="33"/>
      <c r="E9" s="33"/>
      <c r="F9" s="33"/>
      <c r="G9" s="33"/>
      <c r="H9" s="33"/>
    </row>
    <row r="13" spans="2:8" x14ac:dyDescent="0.3">
      <c r="C13" s="51" t="s">
        <v>1</v>
      </c>
      <c r="D13" s="33"/>
      <c r="E13" s="48" t="s">
        <v>2</v>
      </c>
      <c r="F13" s="33"/>
      <c r="G13" s="33"/>
    </row>
    <row r="15" spans="2:8" x14ac:dyDescent="0.3">
      <c r="C15" s="51" t="s">
        <v>3</v>
      </c>
      <c r="D15" s="33"/>
      <c r="E15" s="48"/>
      <c r="F15" s="33"/>
      <c r="G15" s="33"/>
    </row>
    <row r="17" spans="2:8" x14ac:dyDescent="0.3">
      <c r="C17" s="51" t="s">
        <v>4</v>
      </c>
      <c r="D17" s="33"/>
      <c r="E17" s="48" t="s">
        <v>5</v>
      </c>
      <c r="F17" s="33"/>
      <c r="G17" s="33"/>
    </row>
    <row r="22" spans="2:8" ht="24" customHeight="1" x14ac:dyDescent="0.3">
      <c r="B22" s="52" t="s">
        <v>6</v>
      </c>
      <c r="C22" s="33"/>
      <c r="D22" s="33"/>
      <c r="E22" s="33"/>
      <c r="F22" s="33"/>
      <c r="G22" s="33"/>
      <c r="H22" s="33"/>
    </row>
    <row r="24" spans="2:8" x14ac:dyDescent="0.3">
      <c r="B24" s="50" t="s">
        <v>7</v>
      </c>
      <c r="C24" s="33"/>
      <c r="D24" s="33"/>
      <c r="E24" s="33"/>
      <c r="F24" s="33"/>
      <c r="G24" s="33"/>
      <c r="H24" s="33"/>
    </row>
    <row r="25" spans="2:8" x14ac:dyDescent="0.3">
      <c r="B25" s="33"/>
      <c r="C25" s="33"/>
      <c r="D25" s="33"/>
      <c r="E25" s="33"/>
      <c r="F25" s="33"/>
      <c r="G25" s="33"/>
      <c r="H25" s="33"/>
    </row>
    <row r="26" spans="2:8" x14ac:dyDescent="0.3">
      <c r="B26" s="33"/>
      <c r="C26" s="33"/>
      <c r="D26" s="33"/>
      <c r="E26" s="33"/>
      <c r="F26" s="33"/>
      <c r="G26" s="33"/>
      <c r="H26" s="33"/>
    </row>
    <row r="27" spans="2:8" x14ac:dyDescent="0.3">
      <c r="B27" s="33"/>
      <c r="C27" s="33"/>
      <c r="D27" s="33"/>
      <c r="E27" s="33"/>
      <c r="F27" s="33"/>
      <c r="G27" s="33"/>
      <c r="H27" s="33"/>
    </row>
    <row r="28" spans="2:8" x14ac:dyDescent="0.3">
      <c r="B28" s="33"/>
      <c r="C28" s="33"/>
      <c r="D28" s="33"/>
      <c r="E28" s="33"/>
      <c r="F28" s="33"/>
      <c r="G28" s="33"/>
      <c r="H28" s="33"/>
    </row>
    <row r="29" spans="2:8" x14ac:dyDescent="0.3">
      <c r="B29" s="33"/>
      <c r="C29" s="33"/>
      <c r="D29" s="33"/>
      <c r="E29" s="33"/>
      <c r="F29" s="33"/>
      <c r="G29" s="33"/>
      <c r="H29" s="33"/>
    </row>
    <row r="30" spans="2:8" x14ac:dyDescent="0.3">
      <c r="B30" s="33"/>
      <c r="C30" s="33"/>
      <c r="D30" s="33"/>
      <c r="E30" s="33"/>
      <c r="F30" s="33"/>
      <c r="G30" s="33"/>
      <c r="H30" s="33"/>
    </row>
    <row r="31" spans="2:8" x14ac:dyDescent="0.3">
      <c r="B31" s="33"/>
      <c r="C31" s="33"/>
      <c r="D31" s="33"/>
      <c r="E31" s="33"/>
      <c r="F31" s="33"/>
      <c r="G31" s="33"/>
      <c r="H31" s="33"/>
    </row>
    <row r="32" spans="2:8" x14ac:dyDescent="0.3">
      <c r="B32" s="33"/>
      <c r="C32" s="33"/>
      <c r="D32" s="33"/>
      <c r="E32" s="33"/>
      <c r="F32" s="33"/>
      <c r="G32" s="33"/>
      <c r="H32" s="33"/>
    </row>
    <row r="33" spans="2:8" x14ac:dyDescent="0.3">
      <c r="B33" s="33"/>
      <c r="C33" s="33"/>
      <c r="D33" s="33"/>
      <c r="E33" s="33"/>
      <c r="F33" s="33"/>
      <c r="G33" s="33"/>
      <c r="H33" s="33"/>
    </row>
    <row r="34" spans="2:8" x14ac:dyDescent="0.3">
      <c r="B34" s="33"/>
      <c r="C34" s="33"/>
      <c r="D34" s="33"/>
      <c r="E34" s="33"/>
      <c r="F34" s="33"/>
      <c r="G34" s="33"/>
      <c r="H34" s="33"/>
    </row>
    <row r="35" spans="2:8" x14ac:dyDescent="0.3">
      <c r="B35" s="33"/>
      <c r="C35" s="33"/>
      <c r="D35" s="33"/>
      <c r="E35" s="33"/>
      <c r="F35" s="33"/>
      <c r="G35" s="33"/>
      <c r="H35" s="33"/>
    </row>
  </sheetData>
  <mergeCells count="10">
    <mergeCell ref="B4:H5"/>
    <mergeCell ref="E17:G17"/>
    <mergeCell ref="B8:H9"/>
    <mergeCell ref="B24:H35"/>
    <mergeCell ref="C13:D13"/>
    <mergeCell ref="E15:G15"/>
    <mergeCell ref="B22:H22"/>
    <mergeCell ref="C17:D17"/>
    <mergeCell ref="E13:G13"/>
    <mergeCell ref="C15:D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13"/>
  <sheetViews>
    <sheetView showGridLines="0" tabSelected="1" topLeftCell="A65" zoomScale="119" workbookViewId="0">
      <selection activeCell="B67" sqref="B67"/>
    </sheetView>
  </sheetViews>
  <sheetFormatPr defaultRowHeight="14.4" x14ac:dyDescent="0.3"/>
  <cols>
    <col min="1" max="1" width="3" customWidth="1"/>
    <col min="2" max="2" width="50.44140625" customWidth="1"/>
    <col min="3" max="3" width="68.6640625" bestFit="1" customWidth="1"/>
    <col min="4" max="4" width="20" customWidth="1"/>
    <col min="5" max="6" width="16" customWidth="1"/>
  </cols>
  <sheetData>
    <row r="2" spans="2:6" ht="24" customHeight="1" x14ac:dyDescent="0.3">
      <c r="B2" s="52" t="s">
        <v>8</v>
      </c>
      <c r="C2" s="33"/>
      <c r="D2" s="33"/>
      <c r="E2" s="33"/>
      <c r="F2" s="33"/>
    </row>
    <row r="4" spans="2:6" x14ac:dyDescent="0.3">
      <c r="B4" s="43" t="s">
        <v>321</v>
      </c>
      <c r="C4" s="33"/>
      <c r="D4" s="33"/>
      <c r="E4" s="33"/>
      <c r="F4" s="33"/>
    </row>
    <row r="5" spans="2:6" x14ac:dyDescent="0.3">
      <c r="B5" s="33"/>
      <c r="C5" s="33"/>
      <c r="D5" s="33"/>
      <c r="E5" s="33"/>
      <c r="F5" s="33"/>
    </row>
    <row r="6" spans="2:6" ht="39" customHeight="1" x14ac:dyDescent="0.3">
      <c r="B6" s="33"/>
      <c r="C6" s="33"/>
      <c r="D6" s="33"/>
      <c r="E6" s="33"/>
      <c r="F6" s="33"/>
    </row>
    <row r="9" spans="2:6" ht="22.05" customHeight="1" x14ac:dyDescent="0.3">
      <c r="B9" s="32" t="s">
        <v>9</v>
      </c>
      <c r="C9" s="33"/>
      <c r="D9" s="33"/>
      <c r="E9" s="33"/>
    </row>
    <row r="11" spans="2:6" x14ac:dyDescent="0.3">
      <c r="B11" s="1" t="s">
        <v>10</v>
      </c>
      <c r="C11" s="1" t="s">
        <v>11</v>
      </c>
    </row>
    <row r="12" spans="2:6" x14ac:dyDescent="0.3">
      <c r="B12" s="2" t="s">
        <v>12</v>
      </c>
      <c r="C12" s="26">
        <v>28914</v>
      </c>
    </row>
    <row r="13" spans="2:6" x14ac:dyDescent="0.3">
      <c r="B13" s="2" t="s">
        <v>13</v>
      </c>
      <c r="C13" s="2">
        <v>379</v>
      </c>
    </row>
    <row r="14" spans="2:6" x14ac:dyDescent="0.3">
      <c r="B14" s="2" t="s">
        <v>14</v>
      </c>
      <c r="C14" s="26">
        <v>17065</v>
      </c>
    </row>
    <row r="15" spans="2:6" x14ac:dyDescent="0.3">
      <c r="B15" s="2" t="s">
        <v>15</v>
      </c>
      <c r="C15" s="26">
        <v>11849</v>
      </c>
    </row>
    <row r="16" spans="2:6" x14ac:dyDescent="0.3">
      <c r="B16" s="2" t="s">
        <v>16</v>
      </c>
      <c r="C16" s="26">
        <v>7021</v>
      </c>
    </row>
    <row r="17" spans="2:5" x14ac:dyDescent="0.3">
      <c r="B17" s="2" t="s">
        <v>17</v>
      </c>
      <c r="C17" s="26"/>
    </row>
    <row r="18" spans="2:5" x14ac:dyDescent="0.3">
      <c r="B18" s="2" t="s">
        <v>18</v>
      </c>
      <c r="C18" s="2">
        <v>0.69</v>
      </c>
    </row>
    <row r="19" spans="2:5" x14ac:dyDescent="0.3">
      <c r="B19" s="2" t="s">
        <v>19</v>
      </c>
      <c r="C19" s="5" t="s">
        <v>20</v>
      </c>
    </row>
    <row r="20" spans="2:5" x14ac:dyDescent="0.3">
      <c r="B20" s="2" t="s">
        <v>21</v>
      </c>
      <c r="C20" s="5" t="s">
        <v>22</v>
      </c>
    </row>
    <row r="21" spans="2:5" x14ac:dyDescent="0.3">
      <c r="B21" s="2" t="s">
        <v>23</v>
      </c>
      <c r="C21" s="27">
        <v>0.01</v>
      </c>
    </row>
    <row r="22" spans="2:5" x14ac:dyDescent="0.3">
      <c r="B22" s="2" t="s">
        <v>24</v>
      </c>
      <c r="C22" s="27">
        <v>0.26800000000000002</v>
      </c>
    </row>
    <row r="23" spans="2:5" x14ac:dyDescent="0.3">
      <c r="B23" s="2" t="s">
        <v>25</v>
      </c>
      <c r="C23" s="5" t="s">
        <v>26</v>
      </c>
    </row>
    <row r="24" spans="2:5" x14ac:dyDescent="0.3">
      <c r="B24" s="2" t="s">
        <v>27</v>
      </c>
      <c r="C24" s="26">
        <v>28911</v>
      </c>
    </row>
    <row r="26" spans="2:5" x14ac:dyDescent="0.3">
      <c r="B26" s="53" t="s">
        <v>28</v>
      </c>
      <c r="C26" s="33"/>
      <c r="D26" s="33"/>
      <c r="E26" s="33"/>
    </row>
    <row r="28" spans="2:5" x14ac:dyDescent="0.3">
      <c r="B28" s="3" t="s">
        <v>322</v>
      </c>
    </row>
    <row r="30" spans="2:5" x14ac:dyDescent="0.3">
      <c r="B30" s="53" t="s">
        <v>29</v>
      </c>
      <c r="C30" s="33"/>
      <c r="D30" s="33"/>
      <c r="E30" s="33"/>
    </row>
    <row r="32" spans="2:5" x14ac:dyDescent="0.3">
      <c r="B32" s="3" t="s">
        <v>324</v>
      </c>
    </row>
    <row r="34" spans="2:5" x14ac:dyDescent="0.3">
      <c r="B34" s="53" t="s">
        <v>30</v>
      </c>
      <c r="C34" s="33"/>
      <c r="D34" s="33"/>
      <c r="E34" s="33"/>
    </row>
    <row r="36" spans="2:5" x14ac:dyDescent="0.3">
      <c r="B36" s="3" t="s">
        <v>31</v>
      </c>
    </row>
    <row r="38" spans="2:5" x14ac:dyDescent="0.3">
      <c r="B38" s="53" t="s">
        <v>32</v>
      </c>
      <c r="C38" s="33"/>
      <c r="D38" s="33"/>
      <c r="E38" s="33"/>
    </row>
    <row r="40" spans="2:5" x14ac:dyDescent="0.3">
      <c r="B40" s="3" t="s">
        <v>33</v>
      </c>
    </row>
    <row r="42" spans="2:5" x14ac:dyDescent="0.3">
      <c r="B42" s="53" t="s">
        <v>34</v>
      </c>
      <c r="C42" s="33"/>
      <c r="D42" s="33"/>
      <c r="E42" s="33"/>
    </row>
    <row r="44" spans="2:5" x14ac:dyDescent="0.3">
      <c r="B44" s="3" t="s">
        <v>35</v>
      </c>
    </row>
    <row r="46" spans="2:5" x14ac:dyDescent="0.3">
      <c r="B46" s="53" t="s">
        <v>36</v>
      </c>
      <c r="C46" s="33"/>
      <c r="D46" s="33"/>
      <c r="E46" s="33"/>
    </row>
    <row r="48" spans="2:5" x14ac:dyDescent="0.3">
      <c r="B48" s="3" t="s">
        <v>37</v>
      </c>
    </row>
    <row r="50" spans="2:5" x14ac:dyDescent="0.3">
      <c r="B50" s="53" t="s">
        <v>38</v>
      </c>
      <c r="C50" s="33"/>
      <c r="D50" s="33"/>
      <c r="E50" s="33"/>
    </row>
    <row r="52" spans="2:5" x14ac:dyDescent="0.3">
      <c r="B52" s="3" t="s">
        <v>39</v>
      </c>
    </row>
    <row r="54" spans="2:5" x14ac:dyDescent="0.3">
      <c r="B54" s="53" t="s">
        <v>40</v>
      </c>
      <c r="C54" s="33"/>
      <c r="D54" s="33"/>
      <c r="E54" s="33"/>
    </row>
    <row r="56" spans="2:5" x14ac:dyDescent="0.3">
      <c r="B56" s="1" t="s">
        <v>41</v>
      </c>
      <c r="C56" s="1" t="s">
        <v>42</v>
      </c>
    </row>
    <row r="57" spans="2:5" x14ac:dyDescent="0.3">
      <c r="B57" s="2" t="s">
        <v>43</v>
      </c>
      <c r="C57" s="2" t="s">
        <v>44</v>
      </c>
    </row>
    <row r="58" spans="2:5" x14ac:dyDescent="0.3">
      <c r="B58" s="2" t="s">
        <v>45</v>
      </c>
      <c r="C58" s="2" t="s">
        <v>46</v>
      </c>
    </row>
    <row r="59" spans="2:5" x14ac:dyDescent="0.3">
      <c r="B59" s="2" t="s">
        <v>47</v>
      </c>
      <c r="C59" s="2" t="s">
        <v>48</v>
      </c>
    </row>
    <row r="60" spans="2:5" x14ac:dyDescent="0.3">
      <c r="B60" s="2" t="s">
        <v>49</v>
      </c>
      <c r="C60" s="2" t="s">
        <v>50</v>
      </c>
    </row>
    <row r="62" spans="2:5" ht="22.05" customHeight="1" x14ac:dyDescent="0.3">
      <c r="B62" s="32" t="s">
        <v>51</v>
      </c>
      <c r="C62" s="33"/>
      <c r="D62" s="33"/>
      <c r="E62" s="33"/>
    </row>
    <row r="64" spans="2:5" x14ac:dyDescent="0.3">
      <c r="B64" s="53" t="s">
        <v>52</v>
      </c>
      <c r="C64" s="33"/>
      <c r="D64" s="33"/>
      <c r="E64" s="33"/>
    </row>
    <row r="66" spans="2:4" x14ac:dyDescent="0.3">
      <c r="B66" s="1" t="s">
        <v>53</v>
      </c>
      <c r="C66" s="1" t="s">
        <v>54</v>
      </c>
      <c r="D66" s="1" t="s">
        <v>55</v>
      </c>
    </row>
    <row r="67" spans="2:4" x14ac:dyDescent="0.3">
      <c r="B67" s="2" t="s">
        <v>316</v>
      </c>
      <c r="C67" s="4">
        <v>7710</v>
      </c>
      <c r="D67" s="5" t="s">
        <v>56</v>
      </c>
    </row>
    <row r="68" spans="2:4" x14ac:dyDescent="0.3">
      <c r="B68" s="2" t="s">
        <v>317</v>
      </c>
      <c r="C68" s="4">
        <v>7057</v>
      </c>
      <c r="D68" s="5" t="s">
        <v>57</v>
      </c>
    </row>
    <row r="69" spans="2:4" x14ac:dyDescent="0.3">
      <c r="B69" s="2" t="s">
        <v>318</v>
      </c>
      <c r="C69" s="4">
        <v>4271</v>
      </c>
      <c r="D69" s="5" t="s">
        <v>58</v>
      </c>
    </row>
    <row r="70" spans="2:4" x14ac:dyDescent="0.3">
      <c r="B70" s="2" t="s">
        <v>319</v>
      </c>
      <c r="C70" s="4">
        <v>4260</v>
      </c>
      <c r="D70" s="5" t="s">
        <v>59</v>
      </c>
    </row>
    <row r="71" spans="2:4" x14ac:dyDescent="0.3">
      <c r="B71" s="2" t="s">
        <v>60</v>
      </c>
      <c r="C71" s="4">
        <v>1836</v>
      </c>
      <c r="D71" s="5" t="s">
        <v>61</v>
      </c>
    </row>
    <row r="72" spans="2:4" x14ac:dyDescent="0.3">
      <c r="B72" s="2" t="s">
        <v>320</v>
      </c>
      <c r="C72" s="4">
        <v>1782</v>
      </c>
      <c r="D72" s="5" t="s">
        <v>62</v>
      </c>
    </row>
    <row r="73" spans="2:4" x14ac:dyDescent="0.3">
      <c r="B73" s="2" t="s">
        <v>63</v>
      </c>
      <c r="C73" s="4">
        <v>1564</v>
      </c>
      <c r="D73" s="5" t="s">
        <v>64</v>
      </c>
    </row>
    <row r="74" spans="2:4" x14ac:dyDescent="0.3">
      <c r="B74" s="2" t="s">
        <v>65</v>
      </c>
      <c r="C74" s="4">
        <v>213</v>
      </c>
      <c r="D74" s="5" t="s">
        <v>66</v>
      </c>
    </row>
    <row r="75" spans="2:4" x14ac:dyDescent="0.3">
      <c r="B75" s="2" t="s">
        <v>67</v>
      </c>
      <c r="C75" s="4">
        <v>83</v>
      </c>
      <c r="D75" s="5" t="s">
        <v>68</v>
      </c>
    </row>
    <row r="76" spans="2:4" x14ac:dyDescent="0.3">
      <c r="B76" s="2" t="s">
        <v>69</v>
      </c>
      <c r="C76" s="4">
        <v>78</v>
      </c>
      <c r="D76" s="5" t="s">
        <v>70</v>
      </c>
    </row>
    <row r="77" spans="2:4" x14ac:dyDescent="0.3">
      <c r="B77" s="2" t="s">
        <v>71</v>
      </c>
      <c r="C77" s="4">
        <v>45</v>
      </c>
      <c r="D77" s="5" t="s">
        <v>72</v>
      </c>
    </row>
    <row r="78" spans="2:4" x14ac:dyDescent="0.3">
      <c r="B78" s="2" t="s">
        <v>73</v>
      </c>
      <c r="C78" s="4">
        <v>15</v>
      </c>
      <c r="D78" s="5" t="s">
        <v>74</v>
      </c>
    </row>
    <row r="79" spans="2:4" x14ac:dyDescent="0.3">
      <c r="B79" s="6" t="s">
        <v>75</v>
      </c>
      <c r="C79" s="7">
        <v>28914</v>
      </c>
      <c r="D79" s="8" t="s">
        <v>76</v>
      </c>
    </row>
    <row r="81" spans="2:6" x14ac:dyDescent="0.3">
      <c r="B81" s="43" t="s">
        <v>323</v>
      </c>
      <c r="C81" s="33"/>
      <c r="D81" s="33"/>
      <c r="E81" s="33"/>
      <c r="F81" s="33"/>
    </row>
    <row r="82" spans="2:6" x14ac:dyDescent="0.3">
      <c r="B82" s="33"/>
      <c r="C82" s="33"/>
      <c r="D82" s="33"/>
      <c r="E82" s="33"/>
      <c r="F82" s="33"/>
    </row>
    <row r="84" spans="2:6" x14ac:dyDescent="0.3">
      <c r="B84" s="53" t="s">
        <v>77</v>
      </c>
      <c r="C84" s="33"/>
      <c r="D84" s="33"/>
      <c r="E84" s="33"/>
    </row>
    <row r="86" spans="2:6" x14ac:dyDescent="0.3">
      <c r="B86" s="1" t="s">
        <v>45</v>
      </c>
      <c r="C86" s="1" t="s">
        <v>54</v>
      </c>
      <c r="D86" s="1" t="s">
        <v>55</v>
      </c>
    </row>
    <row r="87" spans="2:6" x14ac:dyDescent="0.3">
      <c r="B87" s="2" t="s">
        <v>78</v>
      </c>
      <c r="C87" s="4">
        <v>17065</v>
      </c>
      <c r="D87" s="5" t="s">
        <v>79</v>
      </c>
    </row>
    <row r="88" spans="2:6" x14ac:dyDescent="0.3">
      <c r="B88" s="2" t="s">
        <v>80</v>
      </c>
      <c r="C88" s="4">
        <v>11849</v>
      </c>
      <c r="D88" s="5" t="s">
        <v>81</v>
      </c>
    </row>
    <row r="89" spans="2:6" x14ac:dyDescent="0.3">
      <c r="B89" s="6" t="s">
        <v>75</v>
      </c>
      <c r="C89" s="7">
        <v>28914</v>
      </c>
      <c r="D89" s="8" t="s">
        <v>76</v>
      </c>
    </row>
    <row r="91" spans="2:6" x14ac:dyDescent="0.3">
      <c r="B91" s="43" t="s">
        <v>82</v>
      </c>
      <c r="C91" s="33"/>
      <c r="D91" s="33"/>
      <c r="E91" s="33"/>
      <c r="F91" s="33"/>
    </row>
    <row r="92" spans="2:6" x14ac:dyDescent="0.3">
      <c r="B92" s="33"/>
      <c r="C92" s="33"/>
      <c r="D92" s="33"/>
      <c r="E92" s="33"/>
      <c r="F92" s="33"/>
    </row>
    <row r="94" spans="2:6" x14ac:dyDescent="0.3">
      <c r="B94" s="53" t="s">
        <v>83</v>
      </c>
      <c r="C94" s="33"/>
      <c r="D94" s="33"/>
      <c r="E94" s="33"/>
    </row>
    <row r="96" spans="2:6" x14ac:dyDescent="0.3">
      <c r="B96" s="1" t="s">
        <v>43</v>
      </c>
      <c r="C96" s="1" t="s">
        <v>54</v>
      </c>
      <c r="D96" s="1" t="s">
        <v>55</v>
      </c>
    </row>
    <row r="97" spans="2:6" x14ac:dyDescent="0.3">
      <c r="B97" s="2" t="s">
        <v>84</v>
      </c>
      <c r="C97" s="4">
        <v>16786</v>
      </c>
      <c r="D97" s="5" t="s">
        <v>85</v>
      </c>
    </row>
    <row r="98" spans="2:6" x14ac:dyDescent="0.3">
      <c r="B98" s="2" t="s">
        <v>86</v>
      </c>
      <c r="C98" s="4">
        <v>12128</v>
      </c>
      <c r="D98" s="5" t="s">
        <v>87</v>
      </c>
    </row>
    <row r="99" spans="2:6" x14ac:dyDescent="0.3">
      <c r="B99" s="6" t="s">
        <v>75</v>
      </c>
      <c r="C99" s="7">
        <v>28914</v>
      </c>
      <c r="D99" s="8" t="s">
        <v>76</v>
      </c>
    </row>
    <row r="101" spans="2:6" x14ac:dyDescent="0.3">
      <c r="B101" s="43" t="s">
        <v>88</v>
      </c>
      <c r="C101" s="33"/>
      <c r="D101" s="33"/>
      <c r="E101" s="33"/>
      <c r="F101" s="33"/>
    </row>
    <row r="102" spans="2:6" x14ac:dyDescent="0.3">
      <c r="B102" s="33"/>
      <c r="C102" s="33"/>
      <c r="D102" s="33"/>
      <c r="E102" s="33"/>
      <c r="F102" s="33"/>
    </row>
    <row r="104" spans="2:6" x14ac:dyDescent="0.3">
      <c r="B104" s="53" t="s">
        <v>89</v>
      </c>
      <c r="C104" s="33"/>
      <c r="D104" s="33"/>
      <c r="E104" s="33"/>
    </row>
    <row r="106" spans="2:6" x14ac:dyDescent="0.3">
      <c r="B106" s="1" t="s">
        <v>10</v>
      </c>
      <c r="C106" s="1" t="s">
        <v>11</v>
      </c>
    </row>
    <row r="107" spans="2:6" x14ac:dyDescent="0.3">
      <c r="B107" s="2" t="s">
        <v>90</v>
      </c>
      <c r="C107" s="4">
        <v>16786</v>
      </c>
    </row>
    <row r="108" spans="2:6" x14ac:dyDescent="0.3">
      <c r="B108" s="2" t="s">
        <v>91</v>
      </c>
      <c r="C108" s="4">
        <v>12128</v>
      </c>
    </row>
    <row r="109" spans="2:6" x14ac:dyDescent="0.3">
      <c r="B109" s="2" t="s">
        <v>92</v>
      </c>
      <c r="C109" s="2" t="s">
        <v>85</v>
      </c>
    </row>
    <row r="110" spans="2:6" x14ac:dyDescent="0.3">
      <c r="B110" s="2" t="s">
        <v>93</v>
      </c>
      <c r="C110" s="2" t="s">
        <v>87</v>
      </c>
    </row>
    <row r="111" spans="2:6" x14ac:dyDescent="0.3">
      <c r="B111" s="2" t="s">
        <v>94</v>
      </c>
      <c r="C111" s="2" t="s">
        <v>95</v>
      </c>
    </row>
    <row r="113" spans="2:6" x14ac:dyDescent="0.3">
      <c r="B113" s="43" t="s">
        <v>96</v>
      </c>
      <c r="C113" s="33"/>
      <c r="D113" s="33"/>
      <c r="E113" s="33"/>
      <c r="F113" s="33"/>
    </row>
    <row r="114" spans="2:6" x14ac:dyDescent="0.3">
      <c r="B114" s="33"/>
      <c r="C114" s="33"/>
      <c r="D114" s="33"/>
      <c r="E114" s="33"/>
      <c r="F114" s="33"/>
    </row>
    <row r="116" spans="2:6" x14ac:dyDescent="0.3">
      <c r="B116" s="53" t="s">
        <v>97</v>
      </c>
      <c r="C116" s="33"/>
      <c r="D116" s="33"/>
      <c r="E116" s="33"/>
    </row>
    <row r="118" spans="2:6" x14ac:dyDescent="0.3">
      <c r="B118" s="1" t="s">
        <v>10</v>
      </c>
      <c r="C118" s="1" t="s">
        <v>11</v>
      </c>
    </row>
    <row r="119" spans="2:6" x14ac:dyDescent="0.3">
      <c r="B119" s="2" t="s">
        <v>98</v>
      </c>
      <c r="C119" s="4">
        <v>17065</v>
      </c>
    </row>
    <row r="120" spans="2:6" x14ac:dyDescent="0.3">
      <c r="B120" s="2" t="s">
        <v>99</v>
      </c>
      <c r="C120" s="4">
        <v>11849</v>
      </c>
    </row>
    <row r="121" spans="2:6" x14ac:dyDescent="0.3">
      <c r="B121" s="2" t="s">
        <v>100</v>
      </c>
      <c r="C121" s="2" t="s">
        <v>79</v>
      </c>
    </row>
    <row r="122" spans="2:6" x14ac:dyDescent="0.3">
      <c r="B122" s="2" t="s">
        <v>101</v>
      </c>
      <c r="C122" s="2" t="s">
        <v>81</v>
      </c>
    </row>
    <row r="123" spans="2:6" x14ac:dyDescent="0.3">
      <c r="B123" s="2" t="s">
        <v>102</v>
      </c>
      <c r="C123" s="2" t="s">
        <v>103</v>
      </c>
    </row>
    <row r="125" spans="2:6" x14ac:dyDescent="0.3">
      <c r="B125" s="43" t="s">
        <v>104</v>
      </c>
      <c r="C125" s="33"/>
      <c r="D125" s="33"/>
      <c r="E125" s="33"/>
      <c r="F125" s="33"/>
    </row>
    <row r="126" spans="2:6" x14ac:dyDescent="0.3">
      <c r="B126" s="33"/>
      <c r="C126" s="33"/>
      <c r="D126" s="33"/>
      <c r="E126" s="33"/>
      <c r="F126" s="33"/>
    </row>
    <row r="128" spans="2:6" x14ac:dyDescent="0.3">
      <c r="B128" s="53" t="s">
        <v>105</v>
      </c>
      <c r="C128" s="33"/>
      <c r="D128" s="33"/>
      <c r="E128" s="33"/>
    </row>
    <row r="130" spans="2:5" x14ac:dyDescent="0.3">
      <c r="B130" s="1" t="s">
        <v>106</v>
      </c>
      <c r="C130" s="1" t="s">
        <v>107</v>
      </c>
      <c r="D130" s="1" t="s">
        <v>16</v>
      </c>
      <c r="E130" s="1" t="s">
        <v>17</v>
      </c>
    </row>
    <row r="131" spans="2:5" x14ac:dyDescent="0.3">
      <c r="B131" s="2" t="s">
        <v>69</v>
      </c>
      <c r="C131" s="4">
        <v>78</v>
      </c>
      <c r="D131" s="4">
        <v>59</v>
      </c>
      <c r="E131" s="4"/>
    </row>
    <row r="132" spans="2:5" x14ac:dyDescent="0.3">
      <c r="B132" s="2" t="s">
        <v>108</v>
      </c>
      <c r="C132" s="4">
        <v>25080</v>
      </c>
      <c r="D132" s="4">
        <v>5544</v>
      </c>
      <c r="E132" s="4"/>
    </row>
    <row r="133" spans="2:5" x14ac:dyDescent="0.3">
      <c r="B133" s="2" t="s">
        <v>109</v>
      </c>
      <c r="C133" s="4">
        <v>1920</v>
      </c>
      <c r="D133" s="4">
        <v>234</v>
      </c>
      <c r="E133" s="4"/>
    </row>
    <row r="134" spans="2:5" x14ac:dyDescent="0.3">
      <c r="B134" s="2" t="s">
        <v>60</v>
      </c>
      <c r="C134" s="4">
        <v>1836</v>
      </c>
      <c r="D134" s="4">
        <v>889</v>
      </c>
      <c r="E134" s="4"/>
    </row>
    <row r="135" spans="2:5" x14ac:dyDescent="0.3">
      <c r="B135" s="6" t="s">
        <v>75</v>
      </c>
      <c r="C135" s="7">
        <v>28914</v>
      </c>
      <c r="D135" s="7">
        <v>6726</v>
      </c>
      <c r="E135" s="7"/>
    </row>
    <row r="137" spans="2:5" x14ac:dyDescent="0.3">
      <c r="B137" s="53" t="s">
        <v>110</v>
      </c>
      <c r="C137" s="33"/>
      <c r="D137" s="33"/>
      <c r="E137" s="33"/>
    </row>
    <row r="139" spans="2:5" x14ac:dyDescent="0.3">
      <c r="B139" s="1" t="s">
        <v>47</v>
      </c>
      <c r="C139" s="1" t="s">
        <v>54</v>
      </c>
      <c r="D139" s="1" t="s">
        <v>55</v>
      </c>
    </row>
    <row r="140" spans="2:5" x14ac:dyDescent="0.3">
      <c r="B140" s="2" t="s">
        <v>111</v>
      </c>
      <c r="C140" s="4">
        <v>4326</v>
      </c>
      <c r="D140" s="5" t="s">
        <v>112</v>
      </c>
    </row>
    <row r="141" spans="2:5" x14ac:dyDescent="0.3">
      <c r="B141" s="2" t="s">
        <v>113</v>
      </c>
      <c r="C141" s="4">
        <v>3869</v>
      </c>
      <c r="D141" s="5" t="s">
        <v>114</v>
      </c>
    </row>
    <row r="142" spans="2:5" x14ac:dyDescent="0.3">
      <c r="B142" s="2" t="s">
        <v>115</v>
      </c>
      <c r="C142" s="4">
        <v>3094</v>
      </c>
      <c r="D142" s="5" t="s">
        <v>116</v>
      </c>
    </row>
    <row r="143" spans="2:5" x14ac:dyDescent="0.3">
      <c r="B143" s="2" t="s">
        <v>117</v>
      </c>
      <c r="C143" s="4">
        <v>2281</v>
      </c>
      <c r="D143" s="5" t="s">
        <v>118</v>
      </c>
    </row>
    <row r="144" spans="2:5" x14ac:dyDescent="0.3">
      <c r="B144" s="2" t="s">
        <v>119</v>
      </c>
      <c r="C144" s="4">
        <v>2037</v>
      </c>
      <c r="D144" s="5" t="s">
        <v>120</v>
      </c>
    </row>
    <row r="145" spans="2:4" x14ac:dyDescent="0.3">
      <c r="B145" s="2" t="s">
        <v>121</v>
      </c>
      <c r="C145" s="4">
        <v>1705</v>
      </c>
      <c r="D145" s="5" t="s">
        <v>122</v>
      </c>
    </row>
    <row r="146" spans="2:4" x14ac:dyDescent="0.3">
      <c r="B146" s="2" t="s">
        <v>123</v>
      </c>
      <c r="C146" s="4">
        <v>1559</v>
      </c>
      <c r="D146" s="5" t="s">
        <v>124</v>
      </c>
    </row>
    <row r="147" spans="2:4" x14ac:dyDescent="0.3">
      <c r="B147" s="2" t="s">
        <v>125</v>
      </c>
      <c r="C147" s="4">
        <v>1533</v>
      </c>
      <c r="D147" s="5" t="s">
        <v>126</v>
      </c>
    </row>
    <row r="148" spans="2:4" x14ac:dyDescent="0.3">
      <c r="B148" s="2" t="s">
        <v>127</v>
      </c>
      <c r="C148" s="4">
        <v>1395</v>
      </c>
      <c r="D148" s="5" t="s">
        <v>128</v>
      </c>
    </row>
    <row r="149" spans="2:4" x14ac:dyDescent="0.3">
      <c r="B149" s="2" t="s">
        <v>129</v>
      </c>
      <c r="C149" s="4">
        <v>1163</v>
      </c>
      <c r="D149" s="5" t="s">
        <v>130</v>
      </c>
    </row>
    <row r="150" spans="2:4" x14ac:dyDescent="0.3">
      <c r="B150" s="2" t="s">
        <v>131</v>
      </c>
      <c r="C150" s="4">
        <v>693</v>
      </c>
      <c r="D150" s="5" t="s">
        <v>132</v>
      </c>
    </row>
    <row r="151" spans="2:4" x14ac:dyDescent="0.3">
      <c r="B151" s="2" t="s">
        <v>133</v>
      </c>
      <c r="C151" s="4">
        <v>687</v>
      </c>
      <c r="D151" s="5" t="s">
        <v>134</v>
      </c>
    </row>
    <row r="152" spans="2:4" x14ac:dyDescent="0.3">
      <c r="B152" s="2" t="s">
        <v>135</v>
      </c>
      <c r="C152" s="4">
        <v>589</v>
      </c>
      <c r="D152" s="5" t="s">
        <v>136</v>
      </c>
    </row>
    <row r="153" spans="2:4" x14ac:dyDescent="0.3">
      <c r="B153" s="2" t="s">
        <v>137</v>
      </c>
      <c r="C153" s="4">
        <v>524</v>
      </c>
      <c r="D153" s="5" t="s">
        <v>138</v>
      </c>
    </row>
    <row r="154" spans="2:4" x14ac:dyDescent="0.3">
      <c r="B154" s="2" t="s">
        <v>139</v>
      </c>
      <c r="C154" s="4">
        <v>436</v>
      </c>
      <c r="D154" s="5" t="s">
        <v>140</v>
      </c>
    </row>
    <row r="155" spans="2:4" x14ac:dyDescent="0.3">
      <c r="B155" s="2" t="s">
        <v>141</v>
      </c>
      <c r="C155" s="4">
        <v>430</v>
      </c>
      <c r="D155" s="5" t="s">
        <v>142</v>
      </c>
    </row>
    <row r="156" spans="2:4" x14ac:dyDescent="0.3">
      <c r="B156" s="2" t="s">
        <v>143</v>
      </c>
      <c r="C156" s="4">
        <v>417</v>
      </c>
      <c r="D156" s="5" t="s">
        <v>144</v>
      </c>
    </row>
    <row r="157" spans="2:4" x14ac:dyDescent="0.3">
      <c r="B157" s="2" t="s">
        <v>145</v>
      </c>
      <c r="C157" s="4">
        <v>399</v>
      </c>
      <c r="D157" s="5" t="s">
        <v>146</v>
      </c>
    </row>
    <row r="158" spans="2:4" x14ac:dyDescent="0.3">
      <c r="B158" s="2" t="s">
        <v>147</v>
      </c>
      <c r="C158" s="4">
        <v>299</v>
      </c>
      <c r="D158" s="5" t="s">
        <v>148</v>
      </c>
    </row>
    <row r="159" spans="2:4" x14ac:dyDescent="0.3">
      <c r="B159" s="2" t="s">
        <v>149</v>
      </c>
      <c r="C159" s="4">
        <v>296</v>
      </c>
      <c r="D159" s="5" t="s">
        <v>150</v>
      </c>
    </row>
    <row r="160" spans="2:4" x14ac:dyDescent="0.3">
      <c r="B160" s="2" t="s">
        <v>151</v>
      </c>
      <c r="C160" s="4">
        <v>221</v>
      </c>
      <c r="D160" s="5" t="s">
        <v>152</v>
      </c>
    </row>
    <row r="161" spans="2:5" x14ac:dyDescent="0.3">
      <c r="B161" s="2" t="s">
        <v>153</v>
      </c>
      <c r="C161" s="4">
        <v>217</v>
      </c>
      <c r="D161" s="5" t="s">
        <v>154</v>
      </c>
    </row>
    <row r="162" spans="2:5" x14ac:dyDescent="0.3">
      <c r="B162" s="2" t="s">
        <v>155</v>
      </c>
      <c r="C162" s="4">
        <v>210</v>
      </c>
      <c r="D162" s="5" t="s">
        <v>156</v>
      </c>
    </row>
    <row r="163" spans="2:5" x14ac:dyDescent="0.3">
      <c r="B163" s="2" t="s">
        <v>157</v>
      </c>
      <c r="C163" s="4">
        <v>189</v>
      </c>
      <c r="D163" s="5" t="s">
        <v>158</v>
      </c>
    </row>
    <row r="164" spans="2:5" x14ac:dyDescent="0.3">
      <c r="B164" s="2" t="s">
        <v>159</v>
      </c>
      <c r="C164" s="4">
        <v>150</v>
      </c>
      <c r="D164" s="5" t="s">
        <v>160</v>
      </c>
    </row>
    <row r="165" spans="2:5" x14ac:dyDescent="0.3">
      <c r="B165" s="2" t="s">
        <v>161</v>
      </c>
      <c r="C165" s="4">
        <v>75</v>
      </c>
      <c r="D165" s="5" t="s">
        <v>162</v>
      </c>
    </row>
    <row r="166" spans="2:5" x14ac:dyDescent="0.3">
      <c r="B166" s="2" t="s">
        <v>163</v>
      </c>
      <c r="C166" s="4">
        <v>42</v>
      </c>
      <c r="D166" s="5" t="s">
        <v>164</v>
      </c>
    </row>
    <row r="167" spans="2:5" x14ac:dyDescent="0.3">
      <c r="B167" s="2" t="s">
        <v>165</v>
      </c>
      <c r="C167" s="4">
        <v>41</v>
      </c>
      <c r="D167" s="5" t="s">
        <v>166</v>
      </c>
    </row>
    <row r="168" spans="2:5" x14ac:dyDescent="0.3">
      <c r="B168" s="2" t="s">
        <v>167</v>
      </c>
      <c r="C168" s="4">
        <v>26</v>
      </c>
      <c r="D168" s="5" t="s">
        <v>168</v>
      </c>
    </row>
    <row r="169" spans="2:5" x14ac:dyDescent="0.3">
      <c r="B169" s="2" t="s">
        <v>169</v>
      </c>
      <c r="C169" s="4">
        <v>11</v>
      </c>
      <c r="D169" s="5" t="s">
        <v>170</v>
      </c>
    </row>
    <row r="170" spans="2:5" x14ac:dyDescent="0.3">
      <c r="B170" s="6" t="s">
        <v>75</v>
      </c>
      <c r="C170" s="7">
        <v>28914</v>
      </c>
      <c r="D170" s="8" t="s">
        <v>76</v>
      </c>
    </row>
    <row r="172" spans="2:5" x14ac:dyDescent="0.3">
      <c r="B172" s="53" t="s">
        <v>171</v>
      </c>
      <c r="C172" s="33"/>
      <c r="D172" s="33"/>
      <c r="E172" s="33"/>
    </row>
    <row r="174" spans="2:5" x14ac:dyDescent="0.3">
      <c r="B174" s="1" t="s">
        <v>10</v>
      </c>
      <c r="C174" s="1" t="s">
        <v>11</v>
      </c>
    </row>
    <row r="175" spans="2:5" x14ac:dyDescent="0.3">
      <c r="B175" s="2" t="s">
        <v>172</v>
      </c>
      <c r="C175" s="5">
        <v>28.9</v>
      </c>
    </row>
    <row r="176" spans="2:5" x14ac:dyDescent="0.3">
      <c r="B176" s="2" t="s">
        <v>173</v>
      </c>
      <c r="C176" s="5">
        <v>31</v>
      </c>
    </row>
    <row r="177" spans="2:5" x14ac:dyDescent="0.3">
      <c r="B177" s="2" t="s">
        <v>174</v>
      </c>
      <c r="C177" s="27">
        <v>0.01</v>
      </c>
    </row>
    <row r="178" spans="2:5" x14ac:dyDescent="0.3">
      <c r="B178" s="2" t="s">
        <v>175</v>
      </c>
      <c r="C178" s="27">
        <v>0.26800000000000002</v>
      </c>
    </row>
    <row r="179" spans="2:5" x14ac:dyDescent="0.3">
      <c r="B179" s="2" t="s">
        <v>176</v>
      </c>
      <c r="C179" s="5" t="s">
        <v>26</v>
      </c>
    </row>
    <row r="180" spans="2:5" x14ac:dyDescent="0.3">
      <c r="B180" s="2" t="s">
        <v>177</v>
      </c>
      <c r="C180" s="5">
        <v>0.69</v>
      </c>
    </row>
    <row r="181" spans="2:5" x14ac:dyDescent="0.3">
      <c r="B181" s="2" t="s">
        <v>178</v>
      </c>
      <c r="C181" s="27">
        <v>0.58099999999999996</v>
      </c>
    </row>
    <row r="182" spans="2:5" x14ac:dyDescent="0.3">
      <c r="B182" s="2" t="s">
        <v>179</v>
      </c>
      <c r="C182" s="27">
        <v>0.41899999999999998</v>
      </c>
    </row>
    <row r="183" spans="2:5" x14ac:dyDescent="0.3">
      <c r="B183" s="2" t="s">
        <v>180</v>
      </c>
      <c r="C183" s="5" t="s">
        <v>95</v>
      </c>
    </row>
    <row r="185" spans="2:5" x14ac:dyDescent="0.3">
      <c r="B185" s="3" t="s">
        <v>181</v>
      </c>
    </row>
    <row r="187" spans="2:5" ht="22.05" customHeight="1" x14ac:dyDescent="0.3">
      <c r="B187" s="32" t="s">
        <v>182</v>
      </c>
      <c r="C187" s="33"/>
      <c r="D187" s="33"/>
      <c r="E187" s="33"/>
    </row>
    <row r="189" spans="2:5" x14ac:dyDescent="0.3">
      <c r="B189" s="1" t="s">
        <v>53</v>
      </c>
      <c r="C189" s="1" t="s">
        <v>183</v>
      </c>
      <c r="D189" s="1" t="s">
        <v>184</v>
      </c>
      <c r="E189" s="1" t="s">
        <v>185</v>
      </c>
    </row>
    <row r="190" spans="2:5" x14ac:dyDescent="0.3">
      <c r="B190" s="2" t="s">
        <v>316</v>
      </c>
      <c r="C190" s="4">
        <v>7710</v>
      </c>
      <c r="D190" s="4">
        <v>9883</v>
      </c>
      <c r="E190" s="5" t="s">
        <v>313</v>
      </c>
    </row>
    <row r="191" spans="2:5" x14ac:dyDescent="0.3">
      <c r="B191" s="2" t="s">
        <v>317</v>
      </c>
      <c r="C191" s="4">
        <v>7057</v>
      </c>
      <c r="D191" s="4">
        <v>10327</v>
      </c>
      <c r="E191" s="5" t="s">
        <v>314</v>
      </c>
    </row>
    <row r="192" spans="2:5" x14ac:dyDescent="0.3">
      <c r="B192" s="2" t="s">
        <v>318</v>
      </c>
      <c r="C192" s="4">
        <v>4271</v>
      </c>
      <c r="D192" s="4">
        <v>4216</v>
      </c>
      <c r="E192" s="30">
        <f>(C192-D192)/D192</f>
        <v>1.3045540796963948E-2</v>
      </c>
    </row>
    <row r="193" spans="2:6" x14ac:dyDescent="0.3">
      <c r="B193" s="2" t="s">
        <v>319</v>
      </c>
      <c r="C193" s="4">
        <v>4260</v>
      </c>
      <c r="D193" s="4">
        <v>4117</v>
      </c>
      <c r="E193" s="5" t="s">
        <v>315</v>
      </c>
    </row>
    <row r="194" spans="2:6" x14ac:dyDescent="0.3">
      <c r="B194" s="2" t="s">
        <v>60</v>
      </c>
      <c r="C194" s="4">
        <v>1836</v>
      </c>
      <c r="D194" s="4">
        <v>2117</v>
      </c>
      <c r="E194" s="5" t="s">
        <v>311</v>
      </c>
    </row>
    <row r="195" spans="2:6" x14ac:dyDescent="0.3">
      <c r="B195" s="2" t="s">
        <v>320</v>
      </c>
      <c r="C195" s="4">
        <v>1782</v>
      </c>
      <c r="D195" s="4">
        <v>1867</v>
      </c>
      <c r="E195" s="30">
        <f>(C195-D195)/D195</f>
        <v>-4.5527584359935723E-2</v>
      </c>
    </row>
    <row r="196" spans="2:6" x14ac:dyDescent="0.3">
      <c r="B196" s="2" t="s">
        <v>109</v>
      </c>
      <c r="C196" s="4">
        <v>1920</v>
      </c>
      <c r="D196" s="4">
        <v>1595</v>
      </c>
      <c r="E196" s="5" t="s">
        <v>310</v>
      </c>
    </row>
    <row r="197" spans="2:6" x14ac:dyDescent="0.3">
      <c r="B197" s="2" t="s">
        <v>69</v>
      </c>
      <c r="C197" s="4">
        <v>78</v>
      </c>
      <c r="D197" s="4">
        <v>65</v>
      </c>
      <c r="E197" s="5" t="s">
        <v>308</v>
      </c>
    </row>
    <row r="198" spans="2:6" x14ac:dyDescent="0.3">
      <c r="B198" s="6" t="s">
        <v>75</v>
      </c>
      <c r="C198" s="7">
        <v>28914</v>
      </c>
      <c r="D198" s="7">
        <v>34187</v>
      </c>
      <c r="E198" s="8" t="s">
        <v>312</v>
      </c>
    </row>
    <row r="200" spans="2:6" x14ac:dyDescent="0.3">
      <c r="B200" s="43" t="s">
        <v>186</v>
      </c>
      <c r="C200" s="33"/>
      <c r="D200" s="33"/>
      <c r="E200" s="33"/>
      <c r="F200" s="33"/>
    </row>
    <row r="201" spans="2:6" x14ac:dyDescent="0.3">
      <c r="B201" s="33"/>
      <c r="C201" s="33"/>
      <c r="D201" s="33"/>
      <c r="E201" s="33"/>
      <c r="F201" s="33"/>
    </row>
    <row r="203" spans="2:6" ht="22.05" customHeight="1" x14ac:dyDescent="0.3">
      <c r="B203" s="32" t="s">
        <v>187</v>
      </c>
      <c r="C203" s="33"/>
      <c r="D203" s="33"/>
      <c r="E203" s="33"/>
    </row>
    <row r="205" spans="2:6" x14ac:dyDescent="0.3">
      <c r="B205" s="1" t="s">
        <v>106</v>
      </c>
      <c r="C205" s="1" t="s">
        <v>183</v>
      </c>
      <c r="D205" s="1" t="s">
        <v>184</v>
      </c>
      <c r="E205" s="1" t="s">
        <v>185</v>
      </c>
    </row>
    <row r="206" spans="2:6" x14ac:dyDescent="0.3">
      <c r="B206" s="2" t="s">
        <v>69</v>
      </c>
      <c r="C206" s="4">
        <v>78</v>
      </c>
      <c r="D206" s="4">
        <v>65</v>
      </c>
      <c r="E206" s="5" t="s">
        <v>308</v>
      </c>
    </row>
    <row r="207" spans="2:6" x14ac:dyDescent="0.3">
      <c r="B207" s="2" t="s">
        <v>108</v>
      </c>
      <c r="C207" s="4">
        <v>25080</v>
      </c>
      <c r="D207" s="4">
        <v>30410</v>
      </c>
      <c r="E207" s="5" t="s">
        <v>309</v>
      </c>
    </row>
    <row r="208" spans="2:6" x14ac:dyDescent="0.3">
      <c r="B208" s="2" t="s">
        <v>109</v>
      </c>
      <c r="C208" s="4">
        <v>1920</v>
      </c>
      <c r="D208" s="4">
        <v>1595</v>
      </c>
      <c r="E208" s="5" t="s">
        <v>310</v>
      </c>
    </row>
    <row r="209" spans="2:6" x14ac:dyDescent="0.3">
      <c r="B209" s="2" t="s">
        <v>60</v>
      </c>
      <c r="C209" s="4">
        <v>1836</v>
      </c>
      <c r="D209" s="4">
        <v>2117</v>
      </c>
      <c r="E209" s="5" t="s">
        <v>311</v>
      </c>
    </row>
    <row r="210" spans="2:6" x14ac:dyDescent="0.3">
      <c r="B210" s="6" t="s">
        <v>75</v>
      </c>
      <c r="C210" s="7">
        <v>28914</v>
      </c>
      <c r="D210" s="7">
        <v>34187</v>
      </c>
      <c r="E210" s="8" t="s">
        <v>312</v>
      </c>
    </row>
    <row r="212" spans="2:6" x14ac:dyDescent="0.3">
      <c r="B212" s="43" t="s">
        <v>186</v>
      </c>
      <c r="C212" s="33"/>
      <c r="D212" s="33"/>
      <c r="E212" s="33"/>
      <c r="F212" s="33"/>
    </row>
    <row r="213" spans="2:6" x14ac:dyDescent="0.3">
      <c r="B213" s="33"/>
      <c r="C213" s="33"/>
      <c r="D213" s="33"/>
      <c r="E213" s="33"/>
      <c r="F213" s="33"/>
    </row>
  </sheetData>
  <mergeCells count="29">
    <mergeCell ref="B212:F213"/>
    <mergeCell ref="B50:E50"/>
    <mergeCell ref="B9:E9"/>
    <mergeCell ref="B172:E172"/>
    <mergeCell ref="B187:E187"/>
    <mergeCell ref="B30:E30"/>
    <mergeCell ref="B64:E64"/>
    <mergeCell ref="B104:E104"/>
    <mergeCell ref="B101:F102"/>
    <mergeCell ref="B137:E137"/>
    <mergeCell ref="B203:E203"/>
    <mergeCell ref="B94:E94"/>
    <mergeCell ref="B26:E26"/>
    <mergeCell ref="B4:F6"/>
    <mergeCell ref="B84:E84"/>
    <mergeCell ref="B2:F2"/>
    <mergeCell ref="B200:F201"/>
    <mergeCell ref="B54:E54"/>
    <mergeCell ref="B62:E62"/>
    <mergeCell ref="B46:E46"/>
    <mergeCell ref="B113:F114"/>
    <mergeCell ref="B91:F92"/>
    <mergeCell ref="B81:F82"/>
    <mergeCell ref="B125:F126"/>
    <mergeCell ref="B42:E42"/>
    <mergeCell ref="B38:E38"/>
    <mergeCell ref="B116:E116"/>
    <mergeCell ref="B34:E34"/>
    <mergeCell ref="B128:E1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260"/>
  <sheetViews>
    <sheetView showGridLines="0" zoomScale="107" workbookViewId="0">
      <selection activeCell="B247" sqref="B238:B247"/>
    </sheetView>
  </sheetViews>
  <sheetFormatPr defaultRowHeight="14.4" x14ac:dyDescent="0.3"/>
  <cols>
    <col min="1" max="1" width="3" customWidth="1"/>
    <col min="2" max="2" width="16" customWidth="1"/>
    <col min="3" max="3" width="23.33203125" bestFit="1" customWidth="1"/>
    <col min="4" max="4" width="26.21875" bestFit="1" customWidth="1"/>
    <col min="5" max="8" width="14" customWidth="1"/>
    <col min="10" max="15" width="14" customWidth="1"/>
  </cols>
  <sheetData>
    <row r="2" spans="2:8" ht="22.05" customHeight="1" x14ac:dyDescent="0.3">
      <c r="B2" s="52" t="s">
        <v>188</v>
      </c>
      <c r="C2" s="33"/>
      <c r="D2" s="33"/>
      <c r="E2" s="33"/>
      <c r="F2" s="33"/>
      <c r="G2" s="33"/>
      <c r="H2" s="33"/>
    </row>
    <row r="5" spans="2:8" x14ac:dyDescent="0.3">
      <c r="B5" s="43" t="s">
        <v>189</v>
      </c>
      <c r="C5" s="33"/>
      <c r="D5" s="33"/>
      <c r="E5" s="33"/>
      <c r="F5" s="33"/>
      <c r="G5" s="33"/>
      <c r="H5" s="33"/>
    </row>
    <row r="6" spans="2:8" x14ac:dyDescent="0.3">
      <c r="B6" s="33"/>
      <c r="C6" s="33"/>
      <c r="D6" s="33"/>
      <c r="E6" s="33"/>
      <c r="F6" s="33"/>
      <c r="G6" s="33"/>
      <c r="H6" s="33"/>
    </row>
    <row r="7" spans="2:8" x14ac:dyDescent="0.3">
      <c r="B7" s="33"/>
      <c r="C7" s="33"/>
      <c r="D7" s="33"/>
      <c r="E7" s="33"/>
      <c r="F7" s="33"/>
      <c r="G7" s="33"/>
      <c r="H7" s="33"/>
    </row>
    <row r="10" spans="2:8" x14ac:dyDescent="0.3">
      <c r="B10" s="53" t="s">
        <v>190</v>
      </c>
      <c r="C10" s="33"/>
      <c r="D10" s="33"/>
      <c r="E10" s="33"/>
      <c r="F10" s="33"/>
      <c r="G10" s="33"/>
      <c r="H10" s="33"/>
    </row>
    <row r="11" spans="2:8" x14ac:dyDescent="0.3">
      <c r="B11" s="54" t="s">
        <v>191</v>
      </c>
      <c r="C11" s="33"/>
      <c r="D11" s="33"/>
      <c r="E11" s="33"/>
      <c r="F11" s="33"/>
      <c r="G11" s="33"/>
      <c r="H11" s="33"/>
    </row>
    <row r="12" spans="2:8" x14ac:dyDescent="0.3">
      <c r="B12" s="33"/>
      <c r="C12" s="33"/>
      <c r="D12" s="33"/>
      <c r="E12" s="33"/>
      <c r="F12" s="33"/>
      <c r="G12" s="33"/>
      <c r="H12" s="33"/>
    </row>
    <row r="13" spans="2:8" x14ac:dyDescent="0.3">
      <c r="B13" s="33"/>
      <c r="C13" s="33"/>
      <c r="D13" s="33"/>
      <c r="E13" s="33"/>
      <c r="F13" s="33"/>
      <c r="G13" s="33"/>
      <c r="H13" s="33"/>
    </row>
    <row r="14" spans="2:8" x14ac:dyDescent="0.3">
      <c r="B14" s="33"/>
      <c r="C14" s="33"/>
      <c r="D14" s="33"/>
      <c r="E14" s="33"/>
      <c r="F14" s="33"/>
      <c r="G14" s="33"/>
      <c r="H14" s="33"/>
    </row>
    <row r="15" spans="2:8" x14ac:dyDescent="0.3">
      <c r="B15" s="33"/>
      <c r="C15" s="33"/>
      <c r="D15" s="33"/>
      <c r="E15" s="33"/>
      <c r="F15" s="33"/>
      <c r="G15" s="33"/>
      <c r="H15" s="33"/>
    </row>
    <row r="16" spans="2:8" ht="30.6" customHeight="1" x14ac:dyDescent="0.3">
      <c r="B16" s="33"/>
      <c r="C16" s="33"/>
      <c r="D16" s="33"/>
      <c r="E16" s="33"/>
      <c r="F16" s="33"/>
      <c r="G16" s="33"/>
      <c r="H16" s="33"/>
    </row>
    <row r="18" spans="2:8" x14ac:dyDescent="0.3">
      <c r="B18" s="53" t="s">
        <v>192</v>
      </c>
      <c r="C18" s="33"/>
      <c r="D18" s="33"/>
      <c r="E18" s="33"/>
      <c r="F18" s="33"/>
      <c r="G18" s="33"/>
      <c r="H18" s="33"/>
    </row>
    <row r="20" spans="2:8" x14ac:dyDescent="0.3">
      <c r="B20" s="1" t="s">
        <v>193</v>
      </c>
      <c r="C20" s="1" t="s">
        <v>84</v>
      </c>
      <c r="D20" s="1" t="s">
        <v>86</v>
      </c>
      <c r="E20" s="1" t="s">
        <v>194</v>
      </c>
    </row>
    <row r="21" spans="2:8" x14ac:dyDescent="0.3">
      <c r="B21" s="9" t="s">
        <v>195</v>
      </c>
      <c r="C21" s="4">
        <v>4132</v>
      </c>
      <c r="D21" s="4">
        <v>3619</v>
      </c>
      <c r="E21" s="4">
        <f>C21+D21</f>
        <v>7751</v>
      </c>
    </row>
    <row r="22" spans="2:8" x14ac:dyDescent="0.3">
      <c r="B22" s="9" t="s">
        <v>196</v>
      </c>
      <c r="C22" s="4">
        <v>12455</v>
      </c>
      <c r="D22" s="4">
        <v>8418</v>
      </c>
      <c r="E22" s="4">
        <f>C22+D22</f>
        <v>20873</v>
      </c>
    </row>
    <row r="23" spans="2:8" x14ac:dyDescent="0.3">
      <c r="B23" s="9" t="s">
        <v>197</v>
      </c>
      <c r="C23" s="4">
        <v>198</v>
      </c>
      <c r="D23" s="4">
        <v>91</v>
      </c>
      <c r="E23" s="4">
        <f>C23+D23</f>
        <v>289</v>
      </c>
    </row>
    <row r="24" spans="2:8" x14ac:dyDescent="0.3">
      <c r="B24" s="10" t="s">
        <v>194</v>
      </c>
      <c r="C24" s="11">
        <f>SUM(C21:C23)</f>
        <v>16785</v>
      </c>
      <c r="D24" s="11">
        <f>SUM(D21:D23)</f>
        <v>12128</v>
      </c>
      <c r="E24" s="11">
        <f>SUM(E21:E23)</f>
        <v>28913</v>
      </c>
    </row>
    <row r="27" spans="2:8" x14ac:dyDescent="0.3">
      <c r="B27" s="53" t="s">
        <v>198</v>
      </c>
      <c r="C27" s="33"/>
      <c r="D27" s="33"/>
      <c r="E27" s="33"/>
      <c r="F27" s="33"/>
      <c r="G27" s="33"/>
      <c r="H27" s="33"/>
    </row>
    <row r="29" spans="2:8" x14ac:dyDescent="0.3">
      <c r="B29" s="1" t="s">
        <v>199</v>
      </c>
      <c r="C29" s="1" t="s">
        <v>200</v>
      </c>
      <c r="D29" s="1" t="s">
        <v>201</v>
      </c>
      <c r="E29" s="1" t="s">
        <v>194</v>
      </c>
      <c r="F29" s="1" t="s">
        <v>202</v>
      </c>
    </row>
    <row r="30" spans="2:8" x14ac:dyDescent="0.3">
      <c r="B30" s="12" t="s">
        <v>203</v>
      </c>
      <c r="C30" s="13">
        <v>1137</v>
      </c>
      <c r="D30" s="13">
        <v>941</v>
      </c>
      <c r="E30" s="13">
        <f t="shared" ref="E30:E43" si="0">C30+D30</f>
        <v>2078</v>
      </c>
      <c r="F30" s="14">
        <f t="shared" ref="F30:F43" si="1">IF($E$44=0,0,E30/$E$44)</f>
        <v>7.1870784768097398E-2</v>
      </c>
    </row>
    <row r="31" spans="2:8" x14ac:dyDescent="0.3">
      <c r="B31" s="12" t="s">
        <v>204</v>
      </c>
      <c r="C31" s="13">
        <v>1400</v>
      </c>
      <c r="D31" s="13">
        <v>1189</v>
      </c>
      <c r="E31" s="13">
        <f t="shared" si="0"/>
        <v>2589</v>
      </c>
      <c r="F31" s="14">
        <f t="shared" si="1"/>
        <v>8.9544495555632417E-2</v>
      </c>
    </row>
    <row r="32" spans="2:8" x14ac:dyDescent="0.3">
      <c r="B32" s="12" t="s">
        <v>205</v>
      </c>
      <c r="C32" s="13">
        <v>1027</v>
      </c>
      <c r="D32" s="13">
        <v>943</v>
      </c>
      <c r="E32" s="13">
        <f t="shared" si="0"/>
        <v>1970</v>
      </c>
      <c r="F32" s="14">
        <f t="shared" si="1"/>
        <v>6.8135440805174141E-2</v>
      </c>
    </row>
    <row r="33" spans="2:6" x14ac:dyDescent="0.3">
      <c r="B33" s="12" t="s">
        <v>206</v>
      </c>
      <c r="C33" s="13">
        <v>568</v>
      </c>
      <c r="D33" s="13">
        <v>546</v>
      </c>
      <c r="E33" s="13">
        <f t="shared" si="0"/>
        <v>1114</v>
      </c>
      <c r="F33" s="14">
        <f t="shared" si="1"/>
        <v>3.8529381247189846E-2</v>
      </c>
    </row>
    <row r="34" spans="2:6" x14ac:dyDescent="0.3">
      <c r="B34" s="12" t="s">
        <v>207</v>
      </c>
      <c r="C34" s="13">
        <v>726</v>
      </c>
      <c r="D34" s="13">
        <v>623</v>
      </c>
      <c r="E34" s="13">
        <f t="shared" si="0"/>
        <v>1349</v>
      </c>
      <c r="F34" s="14">
        <f t="shared" si="1"/>
        <v>4.6657213018365444E-2</v>
      </c>
    </row>
    <row r="35" spans="2:6" x14ac:dyDescent="0.3">
      <c r="B35" s="12" t="s">
        <v>208</v>
      </c>
      <c r="C35" s="13">
        <v>2443</v>
      </c>
      <c r="D35" s="13">
        <v>2078</v>
      </c>
      <c r="E35" s="13">
        <f t="shared" si="0"/>
        <v>4521</v>
      </c>
      <c r="F35" s="14">
        <f t="shared" si="1"/>
        <v>0.15636564867014838</v>
      </c>
    </row>
    <row r="36" spans="2:6" x14ac:dyDescent="0.3">
      <c r="B36" s="12" t="s">
        <v>209</v>
      </c>
      <c r="C36" s="13">
        <v>2429</v>
      </c>
      <c r="D36" s="13">
        <v>1903</v>
      </c>
      <c r="E36" s="13">
        <f t="shared" si="0"/>
        <v>4332</v>
      </c>
      <c r="F36" s="14">
        <f t="shared" si="1"/>
        <v>0.14982879673503269</v>
      </c>
    </row>
    <row r="37" spans="2:6" x14ac:dyDescent="0.3">
      <c r="B37" s="12" t="s">
        <v>210</v>
      </c>
      <c r="C37" s="13">
        <v>2384</v>
      </c>
      <c r="D37" s="13">
        <v>1554</v>
      </c>
      <c r="E37" s="13">
        <f t="shared" si="0"/>
        <v>3938</v>
      </c>
      <c r="F37" s="14">
        <f t="shared" si="1"/>
        <v>0.13620170857399785</v>
      </c>
    </row>
    <row r="38" spans="2:6" x14ac:dyDescent="0.3">
      <c r="B38" s="12" t="s">
        <v>211</v>
      </c>
      <c r="C38" s="13">
        <v>1838</v>
      </c>
      <c r="D38" s="13">
        <v>1108</v>
      </c>
      <c r="E38" s="13">
        <f t="shared" si="0"/>
        <v>2946</v>
      </c>
      <c r="F38" s="14">
        <f t="shared" si="1"/>
        <v>0.10189188254418427</v>
      </c>
    </row>
    <row r="39" spans="2:6" x14ac:dyDescent="0.3">
      <c r="B39" s="12" t="s">
        <v>212</v>
      </c>
      <c r="C39" s="13">
        <v>1264</v>
      </c>
      <c r="D39" s="13">
        <v>561</v>
      </c>
      <c r="E39" s="13">
        <f t="shared" si="0"/>
        <v>1825</v>
      </c>
      <c r="F39" s="14">
        <f t="shared" si="1"/>
        <v>6.3120395669767931E-2</v>
      </c>
    </row>
    <row r="40" spans="2:6" x14ac:dyDescent="0.3">
      <c r="B40" s="12" t="s">
        <v>213</v>
      </c>
      <c r="C40" s="13">
        <v>859</v>
      </c>
      <c r="D40" s="13">
        <v>351</v>
      </c>
      <c r="E40" s="13">
        <f t="shared" si="0"/>
        <v>1210</v>
      </c>
      <c r="F40" s="14">
        <f t="shared" si="1"/>
        <v>4.1849686992010512E-2</v>
      </c>
    </row>
    <row r="41" spans="2:6" x14ac:dyDescent="0.3">
      <c r="B41" s="12" t="s">
        <v>214</v>
      </c>
      <c r="C41" s="13">
        <v>467</v>
      </c>
      <c r="D41" s="13">
        <v>212</v>
      </c>
      <c r="E41" s="13">
        <f t="shared" si="0"/>
        <v>679</v>
      </c>
      <c r="F41" s="14">
        <f t="shared" si="1"/>
        <v>2.3484245840971189E-2</v>
      </c>
    </row>
    <row r="42" spans="2:6" x14ac:dyDescent="0.3">
      <c r="B42" s="12" t="s">
        <v>215</v>
      </c>
      <c r="C42" s="13">
        <v>159</v>
      </c>
      <c r="D42" s="13">
        <v>86</v>
      </c>
      <c r="E42" s="13">
        <f t="shared" si="0"/>
        <v>245</v>
      </c>
      <c r="F42" s="14">
        <f t="shared" si="1"/>
        <v>8.4736969529277482E-3</v>
      </c>
    </row>
    <row r="43" spans="2:6" x14ac:dyDescent="0.3">
      <c r="B43" s="12" t="s">
        <v>216</v>
      </c>
      <c r="C43" s="13">
        <v>84</v>
      </c>
      <c r="D43" s="13">
        <v>33</v>
      </c>
      <c r="E43" s="13">
        <f t="shared" si="0"/>
        <v>117</v>
      </c>
      <c r="F43" s="14">
        <f t="shared" si="1"/>
        <v>4.04662262650019E-3</v>
      </c>
    </row>
    <row r="44" spans="2:6" x14ac:dyDescent="0.3">
      <c r="B44" s="10" t="s">
        <v>194</v>
      </c>
      <c r="C44" s="11">
        <f>SUM(C30:C43)</f>
        <v>16785</v>
      </c>
      <c r="D44" s="11">
        <f>SUM(D30:D43)</f>
        <v>12128</v>
      </c>
      <c r="E44" s="11">
        <f>SUM(E30:E43)</f>
        <v>28913</v>
      </c>
      <c r="F44" s="15">
        <v>1</v>
      </c>
    </row>
    <row r="83" spans="2:8" x14ac:dyDescent="0.3">
      <c r="B83" s="53" t="s">
        <v>217</v>
      </c>
      <c r="C83" s="33"/>
      <c r="D83" s="33"/>
      <c r="E83" s="33"/>
      <c r="F83" s="33"/>
      <c r="G83" s="33"/>
      <c r="H83" s="33"/>
    </row>
    <row r="85" spans="2:8" x14ac:dyDescent="0.3">
      <c r="B85" s="1" t="s">
        <v>199</v>
      </c>
      <c r="C85" s="1" t="s">
        <v>218</v>
      </c>
      <c r="D85" s="1" t="s">
        <v>219</v>
      </c>
      <c r="E85" s="1" t="s">
        <v>220</v>
      </c>
    </row>
    <row r="86" spans="2:8" x14ac:dyDescent="0.3">
      <c r="B86" s="12" t="s">
        <v>203</v>
      </c>
      <c r="C86" s="13">
        <v>2078</v>
      </c>
      <c r="D86" s="13">
        <v>677</v>
      </c>
      <c r="E86" s="13"/>
    </row>
    <row r="87" spans="2:8" x14ac:dyDescent="0.3">
      <c r="B87" s="12" t="s">
        <v>204</v>
      </c>
      <c r="C87" s="13">
        <v>2589</v>
      </c>
      <c r="D87" s="13">
        <v>447</v>
      </c>
      <c r="E87" s="13"/>
    </row>
    <row r="88" spans="2:8" x14ac:dyDescent="0.3">
      <c r="B88" s="12" t="s">
        <v>205</v>
      </c>
      <c r="C88" s="13">
        <v>1970</v>
      </c>
      <c r="D88" s="13">
        <v>403</v>
      </c>
      <c r="E88" s="13"/>
    </row>
    <row r="89" spans="2:8" x14ac:dyDescent="0.3">
      <c r="B89" s="12" t="s">
        <v>206</v>
      </c>
      <c r="C89" s="13">
        <v>1114</v>
      </c>
      <c r="D89" s="13">
        <v>188</v>
      </c>
      <c r="E89" s="13"/>
    </row>
    <row r="90" spans="2:8" x14ac:dyDescent="0.3">
      <c r="B90" s="12" t="s">
        <v>207</v>
      </c>
      <c r="C90" s="13">
        <v>1349</v>
      </c>
      <c r="D90" s="13">
        <v>646</v>
      </c>
      <c r="E90" s="13"/>
    </row>
    <row r="91" spans="2:8" x14ac:dyDescent="0.3">
      <c r="B91" s="12" t="s">
        <v>208</v>
      </c>
      <c r="C91" s="13">
        <v>4521</v>
      </c>
      <c r="D91" s="13">
        <v>1482</v>
      </c>
      <c r="E91" s="13"/>
    </row>
    <row r="92" spans="2:8" x14ac:dyDescent="0.3">
      <c r="B92" s="12" t="s">
        <v>209</v>
      </c>
      <c r="C92" s="13">
        <v>4332</v>
      </c>
      <c r="D92" s="13">
        <v>1041</v>
      </c>
      <c r="E92" s="13"/>
    </row>
    <row r="93" spans="2:8" x14ac:dyDescent="0.3">
      <c r="B93" s="12" t="s">
        <v>210</v>
      </c>
      <c r="C93" s="13">
        <v>3938</v>
      </c>
      <c r="D93" s="13">
        <v>771</v>
      </c>
      <c r="E93" s="13"/>
    </row>
    <row r="94" spans="2:8" x14ac:dyDescent="0.3">
      <c r="B94" s="12" t="s">
        <v>211</v>
      </c>
      <c r="C94" s="13">
        <v>2946</v>
      </c>
      <c r="D94" s="13">
        <v>546</v>
      </c>
      <c r="E94" s="13"/>
    </row>
    <row r="95" spans="2:8" x14ac:dyDescent="0.3">
      <c r="B95" s="12" t="s">
        <v>212</v>
      </c>
      <c r="C95" s="13">
        <v>1825</v>
      </c>
      <c r="D95" s="13">
        <v>349</v>
      </c>
      <c r="E95" s="13"/>
    </row>
    <row r="96" spans="2:8" x14ac:dyDescent="0.3">
      <c r="B96" s="12" t="s">
        <v>213</v>
      </c>
      <c r="C96" s="13">
        <v>1210</v>
      </c>
      <c r="D96" s="13">
        <v>253</v>
      </c>
      <c r="E96" s="13"/>
    </row>
    <row r="97" spans="2:5" x14ac:dyDescent="0.3">
      <c r="B97" s="12" t="s">
        <v>214</v>
      </c>
      <c r="C97" s="13">
        <v>679</v>
      </c>
      <c r="D97" s="13">
        <v>138</v>
      </c>
      <c r="E97" s="13"/>
    </row>
    <row r="98" spans="2:5" x14ac:dyDescent="0.3">
      <c r="B98" s="12" t="s">
        <v>215</v>
      </c>
      <c r="C98" s="13">
        <v>245</v>
      </c>
      <c r="D98" s="13">
        <v>52</v>
      </c>
      <c r="E98" s="13"/>
    </row>
    <row r="99" spans="2:5" x14ac:dyDescent="0.3">
      <c r="B99" s="12" t="s">
        <v>216</v>
      </c>
      <c r="C99" s="13">
        <v>117</v>
      </c>
      <c r="D99" s="13">
        <v>28</v>
      </c>
      <c r="E99" s="13"/>
    </row>
    <row r="100" spans="2:5" x14ac:dyDescent="0.3">
      <c r="B100" s="10" t="s">
        <v>75</v>
      </c>
      <c r="C100" s="11">
        <f>SUM(C86:C99)</f>
        <v>28913</v>
      </c>
      <c r="D100" s="11">
        <f>SUM(D86:D99)</f>
        <v>7021</v>
      </c>
      <c r="E100" s="11"/>
    </row>
    <row r="121" spans="2:8" x14ac:dyDescent="0.3">
      <c r="B121" s="53" t="s">
        <v>221</v>
      </c>
      <c r="C121" s="33"/>
      <c r="D121" s="33"/>
      <c r="E121" s="33"/>
      <c r="F121" s="33"/>
      <c r="G121" s="33"/>
      <c r="H121" s="33"/>
    </row>
    <row r="123" spans="2:8" x14ac:dyDescent="0.3">
      <c r="B123" s="43" t="s">
        <v>222</v>
      </c>
      <c r="C123" s="33"/>
      <c r="D123" s="33"/>
      <c r="E123" s="33"/>
      <c r="F123" s="33"/>
      <c r="G123" s="33"/>
      <c r="H123" s="33"/>
    </row>
    <row r="124" spans="2:8" x14ac:dyDescent="0.3">
      <c r="B124" s="33"/>
      <c r="C124" s="33"/>
      <c r="D124" s="33"/>
      <c r="E124" s="33"/>
      <c r="F124" s="33"/>
      <c r="G124" s="33"/>
      <c r="H124" s="33"/>
    </row>
    <row r="125" spans="2:8" x14ac:dyDescent="0.3">
      <c r="B125" s="33"/>
      <c r="C125" s="33"/>
      <c r="D125" s="33"/>
      <c r="E125" s="33"/>
      <c r="F125" s="33"/>
      <c r="G125" s="33"/>
      <c r="H125" s="33"/>
    </row>
    <row r="126" spans="2:8" x14ac:dyDescent="0.3">
      <c r="B126" s="33"/>
      <c r="C126" s="33"/>
      <c r="D126" s="33"/>
      <c r="E126" s="33"/>
      <c r="F126" s="33"/>
      <c r="G126" s="33"/>
      <c r="H126" s="33"/>
    </row>
    <row r="129" spans="2:8" x14ac:dyDescent="0.3">
      <c r="B129" s="53" t="s">
        <v>223</v>
      </c>
      <c r="C129" s="33"/>
      <c r="D129" s="33"/>
      <c r="E129" s="33"/>
      <c r="F129" s="33"/>
      <c r="G129" s="33"/>
      <c r="H129" s="33"/>
    </row>
    <row r="131" spans="2:8" x14ac:dyDescent="0.3">
      <c r="B131" s="1" t="s">
        <v>224</v>
      </c>
      <c r="C131" s="1" t="s">
        <v>225</v>
      </c>
      <c r="D131" s="1" t="s">
        <v>226</v>
      </c>
    </row>
    <row r="132" spans="2:8" x14ac:dyDescent="0.3">
      <c r="B132" s="12" t="s">
        <v>227</v>
      </c>
      <c r="C132" s="13">
        <v>1566</v>
      </c>
      <c r="D132" s="14">
        <v>5.4166234305281717E-2</v>
      </c>
    </row>
    <row r="133" spans="2:8" x14ac:dyDescent="0.3">
      <c r="B133" s="12" t="s">
        <v>228</v>
      </c>
      <c r="C133" s="13">
        <v>1649</v>
      </c>
      <c r="D133" s="14">
        <v>5.703711390128325E-2</v>
      </c>
    </row>
    <row r="134" spans="2:8" x14ac:dyDescent="0.3">
      <c r="B134" s="12" t="s">
        <v>229</v>
      </c>
      <c r="C134" s="13">
        <v>2030</v>
      </c>
      <c r="D134" s="14">
        <v>7.0215488914254096E-2</v>
      </c>
    </row>
    <row r="135" spans="2:8" x14ac:dyDescent="0.3">
      <c r="B135" s="12" t="s">
        <v>230</v>
      </c>
      <c r="C135" s="13">
        <v>1998</v>
      </c>
      <c r="D135" s="14">
        <v>6.9108643768807723E-2</v>
      </c>
    </row>
    <row r="136" spans="2:8" x14ac:dyDescent="0.3">
      <c r="B136" s="12" t="s">
        <v>231</v>
      </c>
      <c r="C136" s="13">
        <v>21668</v>
      </c>
      <c r="D136" s="14">
        <v>0.74947251911037327</v>
      </c>
    </row>
    <row r="137" spans="2:8" x14ac:dyDescent="0.3">
      <c r="B137" s="10" t="s">
        <v>194</v>
      </c>
      <c r="C137" s="11">
        <f>SUM(C132:C136)</f>
        <v>28911</v>
      </c>
      <c r="D137" s="15">
        <v>1</v>
      </c>
    </row>
    <row r="158" spans="2:8" x14ac:dyDescent="0.3">
      <c r="B158" s="43" t="s">
        <v>232</v>
      </c>
      <c r="C158" s="33"/>
      <c r="D158" s="33"/>
      <c r="E158" s="33"/>
      <c r="F158" s="33"/>
      <c r="G158" s="33"/>
      <c r="H158" s="33"/>
    </row>
    <row r="159" spans="2:8" x14ac:dyDescent="0.3">
      <c r="B159" s="33"/>
      <c r="C159" s="33"/>
      <c r="D159" s="33"/>
      <c r="E159" s="33"/>
      <c r="F159" s="33"/>
      <c r="G159" s="33"/>
      <c r="H159" s="33"/>
    </row>
    <row r="160" spans="2:8" x14ac:dyDescent="0.3">
      <c r="B160" s="33"/>
      <c r="C160" s="33"/>
      <c r="D160" s="33"/>
      <c r="E160" s="33"/>
      <c r="F160" s="33"/>
      <c r="G160" s="33"/>
      <c r="H160" s="33"/>
    </row>
    <row r="161" spans="2:8" x14ac:dyDescent="0.3">
      <c r="B161" s="33"/>
      <c r="C161" s="33"/>
      <c r="D161" s="33"/>
      <c r="E161" s="33"/>
      <c r="F161" s="33"/>
      <c r="G161" s="33"/>
      <c r="H161" s="33"/>
    </row>
    <row r="164" spans="2:8" x14ac:dyDescent="0.3">
      <c r="B164" s="53" t="s">
        <v>233</v>
      </c>
      <c r="C164" s="33"/>
      <c r="D164" s="33"/>
      <c r="E164" s="33"/>
      <c r="F164" s="33"/>
      <c r="G164" s="33"/>
      <c r="H164" s="33"/>
    </row>
    <row r="166" spans="2:8" x14ac:dyDescent="0.3">
      <c r="B166" s="43" t="s">
        <v>234</v>
      </c>
      <c r="C166" s="33"/>
      <c r="D166" s="33"/>
      <c r="E166" s="33"/>
      <c r="F166" s="33"/>
      <c r="G166" s="33"/>
      <c r="H166" s="33"/>
    </row>
    <row r="167" spans="2:8" x14ac:dyDescent="0.3">
      <c r="B167" s="33"/>
      <c r="C167" s="33"/>
      <c r="D167" s="33"/>
      <c r="E167" s="33"/>
      <c r="F167" s="33"/>
      <c r="G167" s="33"/>
      <c r="H167" s="33"/>
    </row>
    <row r="168" spans="2:8" x14ac:dyDescent="0.3">
      <c r="B168" s="33"/>
      <c r="C168" s="33"/>
      <c r="D168" s="33"/>
      <c r="E168" s="33"/>
      <c r="F168" s="33"/>
      <c r="G168" s="33"/>
      <c r="H168" s="33"/>
    </row>
    <row r="171" spans="2:8" x14ac:dyDescent="0.3">
      <c r="B171" s="53" t="s">
        <v>235</v>
      </c>
      <c r="C171" s="33"/>
      <c r="D171" s="33"/>
      <c r="E171" s="33"/>
      <c r="F171" s="33"/>
      <c r="G171" s="33"/>
      <c r="H171" s="33"/>
    </row>
    <row r="173" spans="2:8" ht="24" x14ac:dyDescent="0.3">
      <c r="B173" s="16" t="s">
        <v>236</v>
      </c>
      <c r="C173" s="16" t="s">
        <v>237</v>
      </c>
      <c r="D173" s="16" t="s">
        <v>238</v>
      </c>
    </row>
    <row r="174" spans="2:8" x14ac:dyDescent="0.3">
      <c r="B174" s="17" t="s">
        <v>195</v>
      </c>
      <c r="C174" s="18">
        <v>7751</v>
      </c>
      <c r="D174" s="19">
        <v>0.26808010237609381</v>
      </c>
    </row>
    <row r="175" spans="2:8" x14ac:dyDescent="0.3">
      <c r="B175" s="17" t="s">
        <v>196</v>
      </c>
      <c r="C175" s="18">
        <v>20873</v>
      </c>
      <c r="D175" s="19">
        <v>0.72192439387126894</v>
      </c>
    </row>
    <row r="176" spans="2:8" x14ac:dyDescent="0.3">
      <c r="B176" s="17" t="s">
        <v>197</v>
      </c>
      <c r="C176" s="18">
        <v>289</v>
      </c>
      <c r="D176" s="19">
        <v>9.9955037526372227E-3</v>
      </c>
    </row>
    <row r="179" spans="2:8" x14ac:dyDescent="0.3">
      <c r="B179" s="53" t="s">
        <v>239</v>
      </c>
      <c r="C179" s="33"/>
      <c r="D179" s="33"/>
      <c r="E179" s="33"/>
      <c r="F179" s="33"/>
      <c r="G179" s="33"/>
      <c r="H179" s="33"/>
    </row>
    <row r="181" spans="2:8" x14ac:dyDescent="0.3">
      <c r="B181" s="16" t="s">
        <v>240</v>
      </c>
      <c r="C181" s="16" t="s">
        <v>241</v>
      </c>
      <c r="D181" s="16" t="s">
        <v>242</v>
      </c>
      <c r="E181" s="16" t="s">
        <v>243</v>
      </c>
      <c r="F181" s="16" t="s">
        <v>244</v>
      </c>
    </row>
    <row r="182" spans="2:8" x14ac:dyDescent="0.3">
      <c r="B182" s="17" t="s">
        <v>245</v>
      </c>
      <c r="C182" s="18">
        <v>7751</v>
      </c>
      <c r="D182" s="18">
        <v>20873</v>
      </c>
      <c r="E182" s="20">
        <v>0.3713409667992143</v>
      </c>
      <c r="F182" s="17" t="s">
        <v>246</v>
      </c>
    </row>
    <row r="183" spans="2:8" x14ac:dyDescent="0.3">
      <c r="B183" s="17" t="s">
        <v>247</v>
      </c>
      <c r="C183" s="18">
        <v>289</v>
      </c>
      <c r="D183" s="18">
        <v>20873</v>
      </c>
      <c r="E183" s="20">
        <v>1.384563790542807E-2</v>
      </c>
      <c r="F183" s="17" t="s">
        <v>26</v>
      </c>
    </row>
    <row r="184" spans="2:8" x14ac:dyDescent="0.3">
      <c r="B184" s="17" t="s">
        <v>248</v>
      </c>
      <c r="C184" s="18">
        <v>8040</v>
      </c>
      <c r="D184" s="18">
        <v>20873</v>
      </c>
      <c r="E184" s="20">
        <v>0.38518660470464239</v>
      </c>
      <c r="F184" s="17" t="s">
        <v>249</v>
      </c>
    </row>
    <row r="187" spans="2:8" x14ac:dyDescent="0.3">
      <c r="B187" s="53" t="s">
        <v>250</v>
      </c>
      <c r="C187" s="33"/>
      <c r="D187" s="33"/>
      <c r="E187" s="33"/>
      <c r="F187" s="33"/>
      <c r="G187" s="33"/>
      <c r="H187" s="33"/>
    </row>
    <row r="189" spans="2:8" x14ac:dyDescent="0.3">
      <c r="B189" s="16" t="s">
        <v>251</v>
      </c>
      <c r="C189" s="16" t="s">
        <v>195</v>
      </c>
      <c r="D189" s="16" t="s">
        <v>196</v>
      </c>
      <c r="E189" s="16" t="s">
        <v>197</v>
      </c>
      <c r="F189" s="16" t="s">
        <v>194</v>
      </c>
    </row>
    <row r="190" spans="2:8" x14ac:dyDescent="0.3">
      <c r="B190" s="17" t="s">
        <v>252</v>
      </c>
      <c r="C190" s="18">
        <v>143</v>
      </c>
      <c r="D190" s="18">
        <v>16710</v>
      </c>
      <c r="E190" s="18">
        <v>211</v>
      </c>
      <c r="F190" s="18">
        <v>17064</v>
      </c>
    </row>
    <row r="191" spans="2:8" x14ac:dyDescent="0.3">
      <c r="B191" s="17" t="s">
        <v>253</v>
      </c>
      <c r="C191" s="18">
        <v>7177</v>
      </c>
      <c r="D191" s="18">
        <v>0</v>
      </c>
      <c r="E191" s="18">
        <v>0</v>
      </c>
      <c r="F191" s="18">
        <v>7177</v>
      </c>
    </row>
    <row r="192" spans="2:8" x14ac:dyDescent="0.3">
      <c r="B192" s="17" t="s">
        <v>254</v>
      </c>
      <c r="C192" s="18">
        <v>431</v>
      </c>
      <c r="D192" s="18">
        <v>4163</v>
      </c>
      <c r="E192" s="18">
        <v>78</v>
      </c>
      <c r="F192" s="18">
        <v>4672</v>
      </c>
    </row>
    <row r="195" spans="2:8" x14ac:dyDescent="0.3">
      <c r="B195" s="53" t="s">
        <v>255</v>
      </c>
      <c r="C195" s="33"/>
      <c r="D195" s="33"/>
      <c r="E195" s="33"/>
      <c r="F195" s="33"/>
      <c r="G195" s="33"/>
      <c r="H195" s="33"/>
    </row>
    <row r="197" spans="2:8" x14ac:dyDescent="0.3">
      <c r="B197" s="3" t="s">
        <v>256</v>
      </c>
    </row>
    <row r="200" spans="2:8" x14ac:dyDescent="0.3">
      <c r="B200" s="53" t="s">
        <v>257</v>
      </c>
      <c r="C200" s="33"/>
      <c r="D200" s="33"/>
      <c r="E200" s="33"/>
      <c r="F200" s="33"/>
      <c r="G200" s="33"/>
      <c r="H200" s="33"/>
    </row>
    <row r="202" spans="2:8" x14ac:dyDescent="0.3">
      <c r="B202" s="16" t="s">
        <v>258</v>
      </c>
      <c r="C202" s="16" t="s">
        <v>195</v>
      </c>
      <c r="D202" s="16" t="s">
        <v>196</v>
      </c>
      <c r="E202" s="16" t="s">
        <v>197</v>
      </c>
      <c r="F202" s="16" t="s">
        <v>194</v>
      </c>
    </row>
    <row r="203" spans="2:8" x14ac:dyDescent="0.3">
      <c r="B203" s="17" t="s">
        <v>111</v>
      </c>
      <c r="C203" s="18">
        <v>1506</v>
      </c>
      <c r="D203" s="18">
        <v>2803</v>
      </c>
      <c r="E203" s="18">
        <v>17</v>
      </c>
      <c r="F203" s="18">
        <v>4326</v>
      </c>
    </row>
    <row r="204" spans="2:8" x14ac:dyDescent="0.3">
      <c r="B204" s="17" t="s">
        <v>113</v>
      </c>
      <c r="C204" s="18">
        <v>1701</v>
      </c>
      <c r="D204" s="18">
        <v>2120</v>
      </c>
      <c r="E204" s="18">
        <v>48</v>
      </c>
      <c r="F204" s="18">
        <v>3869</v>
      </c>
    </row>
    <row r="205" spans="2:8" x14ac:dyDescent="0.3">
      <c r="B205" s="17" t="s">
        <v>115</v>
      </c>
      <c r="C205" s="18">
        <v>640</v>
      </c>
      <c r="D205" s="18">
        <v>2435</v>
      </c>
      <c r="E205" s="18">
        <v>19</v>
      </c>
      <c r="F205" s="18">
        <v>3094</v>
      </c>
    </row>
    <row r="206" spans="2:8" x14ac:dyDescent="0.3">
      <c r="B206" s="17" t="s">
        <v>117</v>
      </c>
      <c r="C206" s="18">
        <v>406</v>
      </c>
      <c r="D206" s="18">
        <v>1873</v>
      </c>
      <c r="E206" s="18">
        <v>2</v>
      </c>
      <c r="F206" s="18">
        <v>2281</v>
      </c>
    </row>
    <row r="207" spans="2:8" x14ac:dyDescent="0.3">
      <c r="B207" s="17" t="s">
        <v>119</v>
      </c>
      <c r="C207" s="18">
        <v>306</v>
      </c>
      <c r="D207" s="18">
        <v>1723</v>
      </c>
      <c r="E207" s="18">
        <v>8</v>
      </c>
      <c r="F207" s="18">
        <v>2037</v>
      </c>
    </row>
    <row r="208" spans="2:8" x14ac:dyDescent="0.3">
      <c r="B208" s="17" t="s">
        <v>121</v>
      </c>
      <c r="C208" s="18">
        <v>371</v>
      </c>
      <c r="D208" s="18">
        <v>1333</v>
      </c>
      <c r="E208" s="18">
        <v>1</v>
      </c>
      <c r="F208" s="18">
        <v>1705</v>
      </c>
    </row>
    <row r="209" spans="2:6" x14ac:dyDescent="0.3">
      <c r="B209" s="17" t="s">
        <v>123</v>
      </c>
      <c r="C209" s="18">
        <v>422</v>
      </c>
      <c r="D209" s="18">
        <v>1133</v>
      </c>
      <c r="E209" s="18">
        <v>4</v>
      </c>
      <c r="F209" s="18">
        <v>1559</v>
      </c>
    </row>
    <row r="210" spans="2:6" x14ac:dyDescent="0.3">
      <c r="B210" s="17" t="s">
        <v>125</v>
      </c>
      <c r="C210" s="18">
        <v>202</v>
      </c>
      <c r="D210" s="18">
        <v>1291</v>
      </c>
      <c r="E210" s="18">
        <v>39</v>
      </c>
      <c r="F210" s="18">
        <v>1532</v>
      </c>
    </row>
    <row r="211" spans="2:6" x14ac:dyDescent="0.3">
      <c r="B211" s="17" t="s">
        <v>127</v>
      </c>
      <c r="C211" s="18">
        <v>473</v>
      </c>
      <c r="D211" s="18">
        <v>917</v>
      </c>
      <c r="E211" s="18">
        <v>5</v>
      </c>
      <c r="F211" s="18">
        <v>1395</v>
      </c>
    </row>
    <row r="212" spans="2:6" x14ac:dyDescent="0.3">
      <c r="B212" s="17" t="s">
        <v>129</v>
      </c>
      <c r="C212" s="18">
        <v>390</v>
      </c>
      <c r="D212" s="18">
        <v>757</v>
      </c>
      <c r="E212" s="18">
        <v>16</v>
      </c>
      <c r="F212" s="18">
        <v>1163</v>
      </c>
    </row>
    <row r="213" spans="2:6" x14ac:dyDescent="0.3">
      <c r="B213" s="17" t="s">
        <v>131</v>
      </c>
      <c r="C213" s="18">
        <v>232</v>
      </c>
      <c r="D213" s="18">
        <v>422</v>
      </c>
      <c r="E213" s="18">
        <v>39</v>
      </c>
      <c r="F213" s="18">
        <v>693</v>
      </c>
    </row>
    <row r="214" spans="2:6" x14ac:dyDescent="0.3">
      <c r="B214" s="17" t="s">
        <v>133</v>
      </c>
      <c r="C214" s="18">
        <v>7</v>
      </c>
      <c r="D214" s="18">
        <v>678</v>
      </c>
      <c r="E214" s="18">
        <v>2</v>
      </c>
      <c r="F214" s="18">
        <v>687</v>
      </c>
    </row>
    <row r="215" spans="2:6" x14ac:dyDescent="0.3">
      <c r="B215" s="17" t="s">
        <v>135</v>
      </c>
      <c r="C215" s="18">
        <v>246</v>
      </c>
      <c r="D215" s="18">
        <v>336</v>
      </c>
      <c r="E215" s="18">
        <v>7</v>
      </c>
      <c r="F215" s="18">
        <v>589</v>
      </c>
    </row>
    <row r="216" spans="2:6" x14ac:dyDescent="0.3">
      <c r="B216" s="17" t="s">
        <v>137</v>
      </c>
      <c r="C216" s="18">
        <v>79</v>
      </c>
      <c r="D216" s="18">
        <v>437</v>
      </c>
      <c r="E216" s="18">
        <v>8</v>
      </c>
      <c r="F216" s="18">
        <v>524</v>
      </c>
    </row>
    <row r="217" spans="2:6" x14ac:dyDescent="0.3">
      <c r="B217" s="17" t="s">
        <v>139</v>
      </c>
      <c r="C217" s="18">
        <v>35</v>
      </c>
      <c r="D217" s="18">
        <v>396</v>
      </c>
      <c r="E217" s="18">
        <v>5</v>
      </c>
      <c r="F217" s="18">
        <v>436</v>
      </c>
    </row>
    <row r="218" spans="2:6" x14ac:dyDescent="0.3">
      <c r="B218" s="17" t="s">
        <v>141</v>
      </c>
      <c r="C218" s="18">
        <v>104</v>
      </c>
      <c r="D218" s="18">
        <v>292</v>
      </c>
      <c r="E218" s="18">
        <v>34</v>
      </c>
      <c r="F218" s="18">
        <v>430</v>
      </c>
    </row>
    <row r="219" spans="2:6" x14ac:dyDescent="0.3">
      <c r="B219" s="17" t="s">
        <v>143</v>
      </c>
      <c r="C219" s="18">
        <v>164</v>
      </c>
      <c r="D219" s="18">
        <v>241</v>
      </c>
      <c r="E219" s="18">
        <v>12</v>
      </c>
      <c r="F219" s="18">
        <v>417</v>
      </c>
    </row>
    <row r="220" spans="2:6" x14ac:dyDescent="0.3">
      <c r="B220" s="17" t="s">
        <v>145</v>
      </c>
      <c r="C220" s="18">
        <v>107</v>
      </c>
      <c r="D220" s="18">
        <v>288</v>
      </c>
      <c r="E220" s="18">
        <v>4</v>
      </c>
      <c r="F220" s="18">
        <v>399</v>
      </c>
    </row>
    <row r="221" spans="2:6" x14ac:dyDescent="0.3">
      <c r="B221" s="17" t="s">
        <v>147</v>
      </c>
      <c r="C221" s="18">
        <v>34</v>
      </c>
      <c r="D221" s="18">
        <v>263</v>
      </c>
      <c r="E221" s="18">
        <v>2</v>
      </c>
      <c r="F221" s="18">
        <v>299</v>
      </c>
    </row>
    <row r="222" spans="2:6" x14ac:dyDescent="0.3">
      <c r="B222" s="17" t="s">
        <v>149</v>
      </c>
      <c r="C222" s="18">
        <v>18</v>
      </c>
      <c r="D222" s="18">
        <v>278</v>
      </c>
      <c r="E222" s="18">
        <v>0</v>
      </c>
      <c r="F222" s="18">
        <v>296</v>
      </c>
    </row>
    <row r="223" spans="2:6" x14ac:dyDescent="0.3">
      <c r="B223" s="17" t="s">
        <v>151</v>
      </c>
      <c r="C223" s="18">
        <v>97</v>
      </c>
      <c r="D223" s="18">
        <v>117</v>
      </c>
      <c r="E223" s="18">
        <v>7</v>
      </c>
      <c r="F223" s="18">
        <v>221</v>
      </c>
    </row>
    <row r="224" spans="2:6" x14ac:dyDescent="0.3">
      <c r="B224" s="17" t="s">
        <v>153</v>
      </c>
      <c r="C224" s="18">
        <v>33</v>
      </c>
      <c r="D224" s="18">
        <v>180</v>
      </c>
      <c r="E224" s="18">
        <v>4</v>
      </c>
      <c r="F224" s="18">
        <v>217</v>
      </c>
    </row>
    <row r="225" spans="2:8" x14ac:dyDescent="0.3">
      <c r="B225" s="17" t="s">
        <v>155</v>
      </c>
      <c r="C225" s="18">
        <v>10</v>
      </c>
      <c r="D225" s="18">
        <v>199</v>
      </c>
      <c r="E225" s="18">
        <v>1</v>
      </c>
      <c r="F225" s="18">
        <v>210</v>
      </c>
    </row>
    <row r="226" spans="2:8" x14ac:dyDescent="0.3">
      <c r="B226" s="17" t="s">
        <v>157</v>
      </c>
      <c r="C226" s="18">
        <v>78</v>
      </c>
      <c r="D226" s="18">
        <v>110</v>
      </c>
      <c r="E226" s="18">
        <v>1</v>
      </c>
      <c r="F226" s="18">
        <v>189</v>
      </c>
    </row>
    <row r="227" spans="2:8" x14ac:dyDescent="0.3">
      <c r="B227" s="17" t="s">
        <v>159</v>
      </c>
      <c r="C227" s="18">
        <v>36</v>
      </c>
      <c r="D227" s="18">
        <v>112</v>
      </c>
      <c r="E227" s="18">
        <v>2</v>
      </c>
      <c r="F227" s="18">
        <v>150</v>
      </c>
    </row>
    <row r="228" spans="2:8" x14ac:dyDescent="0.3">
      <c r="B228" s="17" t="s">
        <v>161</v>
      </c>
      <c r="C228" s="18">
        <v>36</v>
      </c>
      <c r="D228" s="18">
        <v>39</v>
      </c>
      <c r="E228" s="18">
        <v>0</v>
      </c>
      <c r="F228" s="18">
        <v>75</v>
      </c>
    </row>
    <row r="229" spans="2:8" x14ac:dyDescent="0.3">
      <c r="B229" s="17" t="s">
        <v>163</v>
      </c>
      <c r="C229" s="18">
        <v>7</v>
      </c>
      <c r="D229" s="18">
        <v>35</v>
      </c>
      <c r="E229" s="18">
        <v>0</v>
      </c>
      <c r="F229" s="18">
        <v>42</v>
      </c>
    </row>
    <row r="230" spans="2:8" x14ac:dyDescent="0.3">
      <c r="B230" s="17" t="s">
        <v>165</v>
      </c>
      <c r="C230" s="18">
        <v>10</v>
      </c>
      <c r="D230" s="18">
        <v>31</v>
      </c>
      <c r="E230" s="18">
        <v>0</v>
      </c>
      <c r="F230" s="18">
        <v>41</v>
      </c>
    </row>
    <row r="231" spans="2:8" x14ac:dyDescent="0.3">
      <c r="B231" s="17" t="s">
        <v>167</v>
      </c>
      <c r="C231" s="18">
        <v>1</v>
      </c>
      <c r="D231" s="18">
        <v>24</v>
      </c>
      <c r="E231" s="18">
        <v>1</v>
      </c>
      <c r="F231" s="18">
        <v>26</v>
      </c>
    </row>
    <row r="232" spans="2:8" x14ac:dyDescent="0.3">
      <c r="B232" s="17" t="s">
        <v>169</v>
      </c>
      <c r="C232" s="18">
        <v>0</v>
      </c>
      <c r="D232" s="18">
        <v>10</v>
      </c>
      <c r="E232" s="18">
        <v>1</v>
      </c>
      <c r="F232" s="18">
        <v>11</v>
      </c>
    </row>
    <row r="235" spans="2:8" x14ac:dyDescent="0.3">
      <c r="B235" s="53" t="s">
        <v>259</v>
      </c>
      <c r="C235" s="33"/>
      <c r="D235" s="33"/>
      <c r="E235" s="33"/>
      <c r="F235" s="33"/>
      <c r="G235" s="33"/>
      <c r="H235" s="33"/>
    </row>
    <row r="237" spans="2:8" x14ac:dyDescent="0.3">
      <c r="B237" s="16" t="s">
        <v>260</v>
      </c>
      <c r="C237" s="16" t="s">
        <v>195</v>
      </c>
      <c r="D237" s="16" t="s">
        <v>196</v>
      </c>
      <c r="E237" s="16" t="s">
        <v>197</v>
      </c>
      <c r="F237" s="16" t="s">
        <v>194</v>
      </c>
    </row>
    <row r="238" spans="2:8" x14ac:dyDescent="0.3">
      <c r="B238" s="17"/>
      <c r="C238" s="18">
        <v>1197</v>
      </c>
      <c r="D238" s="18">
        <v>1569</v>
      </c>
      <c r="E238" s="18">
        <v>6</v>
      </c>
      <c r="F238" s="18">
        <v>2772</v>
      </c>
    </row>
    <row r="239" spans="2:8" x14ac:dyDescent="0.3">
      <c r="B239" s="17"/>
      <c r="C239" s="18">
        <v>388</v>
      </c>
      <c r="D239" s="18">
        <v>748</v>
      </c>
      <c r="E239" s="18">
        <v>14</v>
      </c>
      <c r="F239" s="18">
        <v>1150</v>
      </c>
    </row>
    <row r="240" spans="2:8" x14ac:dyDescent="0.3">
      <c r="B240" s="17"/>
      <c r="C240" s="18">
        <v>315</v>
      </c>
      <c r="D240" s="18">
        <v>785</v>
      </c>
      <c r="E240" s="18">
        <v>3</v>
      </c>
      <c r="F240" s="18">
        <v>1103</v>
      </c>
    </row>
    <row r="241" spans="2:8" x14ac:dyDescent="0.3">
      <c r="B241" s="17"/>
      <c r="C241" s="18">
        <v>261</v>
      </c>
      <c r="D241" s="18">
        <v>748</v>
      </c>
      <c r="E241" s="18">
        <v>30</v>
      </c>
      <c r="F241" s="18">
        <v>1039</v>
      </c>
    </row>
    <row r="242" spans="2:8" x14ac:dyDescent="0.3">
      <c r="B242" s="17"/>
      <c r="C242" s="18">
        <v>409</v>
      </c>
      <c r="D242" s="18">
        <v>497</v>
      </c>
      <c r="E242" s="18">
        <v>37</v>
      </c>
      <c r="F242" s="18">
        <v>943</v>
      </c>
    </row>
    <row r="243" spans="2:8" x14ac:dyDescent="0.3">
      <c r="B243" s="17"/>
      <c r="C243" s="18">
        <v>301</v>
      </c>
      <c r="D243" s="18">
        <v>619</v>
      </c>
      <c r="E243" s="18">
        <v>0</v>
      </c>
      <c r="F243" s="18">
        <v>920</v>
      </c>
    </row>
    <row r="244" spans="2:8" x14ac:dyDescent="0.3">
      <c r="B244" s="17"/>
      <c r="C244" s="18">
        <v>393</v>
      </c>
      <c r="D244" s="18">
        <v>440</v>
      </c>
      <c r="E244" s="18">
        <v>3</v>
      </c>
      <c r="F244" s="18">
        <v>836</v>
      </c>
    </row>
    <row r="245" spans="2:8" x14ac:dyDescent="0.3">
      <c r="B245" s="17"/>
      <c r="C245" s="18">
        <v>2</v>
      </c>
      <c r="D245" s="18">
        <v>625</v>
      </c>
      <c r="E245" s="18">
        <v>0</v>
      </c>
      <c r="F245" s="18">
        <v>627</v>
      </c>
    </row>
    <row r="246" spans="2:8" x14ac:dyDescent="0.3">
      <c r="B246" s="17"/>
      <c r="C246" s="18">
        <v>25</v>
      </c>
      <c r="D246" s="18">
        <v>582</v>
      </c>
      <c r="E246" s="18">
        <v>0</v>
      </c>
      <c r="F246" s="18">
        <v>607</v>
      </c>
    </row>
    <row r="247" spans="2:8" x14ac:dyDescent="0.3">
      <c r="B247" s="17"/>
      <c r="C247" s="18">
        <v>243</v>
      </c>
      <c r="D247" s="18">
        <v>323</v>
      </c>
      <c r="E247" s="18">
        <v>5</v>
      </c>
      <c r="F247" s="18">
        <v>571</v>
      </c>
    </row>
    <row r="250" spans="2:8" x14ac:dyDescent="0.3">
      <c r="B250" s="53" t="s">
        <v>261</v>
      </c>
      <c r="C250" s="33"/>
      <c r="D250" s="33"/>
      <c r="E250" s="33"/>
      <c r="F250" s="33"/>
      <c r="G250" s="33"/>
      <c r="H250" s="33"/>
    </row>
    <row r="252" spans="2:8" x14ac:dyDescent="0.3">
      <c r="B252" s="16" t="s">
        <v>262</v>
      </c>
      <c r="C252" s="16" t="s">
        <v>195</v>
      </c>
      <c r="D252" s="16" t="s">
        <v>196</v>
      </c>
      <c r="E252" s="16" t="s">
        <v>197</v>
      </c>
      <c r="F252" s="16" t="s">
        <v>194</v>
      </c>
    </row>
    <row r="253" spans="2:8" x14ac:dyDescent="0.3">
      <c r="B253" s="17" t="s">
        <v>316</v>
      </c>
      <c r="C253" s="18">
        <v>1028</v>
      </c>
      <c r="D253" s="18">
        <v>6620</v>
      </c>
      <c r="E253" s="18">
        <v>61</v>
      </c>
      <c r="F253" s="18">
        <v>7709</v>
      </c>
    </row>
    <row r="254" spans="2:8" x14ac:dyDescent="0.3">
      <c r="B254" s="17" t="s">
        <v>317</v>
      </c>
      <c r="C254" s="18">
        <v>2437</v>
      </c>
      <c r="D254" s="18">
        <v>4563</v>
      </c>
      <c r="E254" s="18">
        <v>57</v>
      </c>
      <c r="F254" s="18">
        <v>7057</v>
      </c>
    </row>
    <row r="255" spans="2:8" x14ac:dyDescent="0.3">
      <c r="B255" s="17" t="s">
        <v>318</v>
      </c>
      <c r="C255" s="18">
        <v>568</v>
      </c>
      <c r="D255" s="18">
        <v>3679</v>
      </c>
      <c r="E255" s="18">
        <v>24</v>
      </c>
      <c r="F255" s="18">
        <v>4271</v>
      </c>
    </row>
    <row r="256" spans="2:8" x14ac:dyDescent="0.3">
      <c r="B256" s="17" t="s">
        <v>319</v>
      </c>
      <c r="C256" s="18">
        <v>1864</v>
      </c>
      <c r="D256" s="18">
        <v>2377</v>
      </c>
      <c r="E256" s="18">
        <v>19</v>
      </c>
      <c r="F256" s="18">
        <v>4260</v>
      </c>
    </row>
    <row r="257" spans="2:6" x14ac:dyDescent="0.3">
      <c r="B257" s="17" t="s">
        <v>109</v>
      </c>
      <c r="C257" s="18">
        <v>357</v>
      </c>
      <c r="D257" s="18">
        <v>1510</v>
      </c>
      <c r="E257" s="18">
        <v>53</v>
      </c>
      <c r="F257" s="18">
        <v>1920</v>
      </c>
    </row>
    <row r="258" spans="2:6" x14ac:dyDescent="0.3">
      <c r="B258" s="17" t="s">
        <v>60</v>
      </c>
      <c r="C258" s="18">
        <v>797</v>
      </c>
      <c r="D258" s="18">
        <v>1002</v>
      </c>
      <c r="E258" s="18">
        <v>37</v>
      </c>
      <c r="F258" s="18">
        <v>1836</v>
      </c>
    </row>
    <row r="259" spans="2:6" x14ac:dyDescent="0.3">
      <c r="B259" s="17" t="s">
        <v>320</v>
      </c>
      <c r="C259" s="18">
        <v>685</v>
      </c>
      <c r="D259" s="18">
        <v>1067</v>
      </c>
      <c r="E259" s="18">
        <v>30</v>
      </c>
      <c r="F259" s="18">
        <v>1782</v>
      </c>
    </row>
    <row r="260" spans="2:6" x14ac:dyDescent="0.3">
      <c r="B260" s="17" t="s">
        <v>69</v>
      </c>
      <c r="C260" s="18">
        <v>15</v>
      </c>
      <c r="D260" s="18">
        <v>55</v>
      </c>
      <c r="E260" s="18">
        <v>8</v>
      </c>
      <c r="F260" s="18">
        <v>78</v>
      </c>
    </row>
  </sheetData>
  <mergeCells count="20">
    <mergeCell ref="B2:H2"/>
    <mergeCell ref="B158:H161"/>
    <mergeCell ref="B195:H195"/>
    <mergeCell ref="B235:H235"/>
    <mergeCell ref="B179:H179"/>
    <mergeCell ref="B200:H200"/>
    <mergeCell ref="B11:H16"/>
    <mergeCell ref="B121:H121"/>
    <mergeCell ref="B18:H18"/>
    <mergeCell ref="B27:H27"/>
    <mergeCell ref="B187:H187"/>
    <mergeCell ref="B83:H83"/>
    <mergeCell ref="B164:H164"/>
    <mergeCell ref="B5:H7"/>
    <mergeCell ref="B129:H129"/>
    <mergeCell ref="B250:H250"/>
    <mergeCell ref="B123:H126"/>
    <mergeCell ref="B166:H168"/>
    <mergeCell ref="B171:H171"/>
    <mergeCell ref="B10:H10"/>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96"/>
  <sheetViews>
    <sheetView zoomScale="120" workbookViewId="0">
      <pane ySplit="5" topLeftCell="A6" activePane="bottomLeft" state="frozen"/>
      <selection pane="bottomLeft" activeCell="A10" sqref="A10"/>
    </sheetView>
  </sheetViews>
  <sheetFormatPr defaultRowHeight="14.4" x14ac:dyDescent="0.3"/>
  <cols>
    <col min="1" max="1" width="40" customWidth="1"/>
    <col min="2" max="2" width="20.21875" customWidth="1"/>
    <col min="3" max="3" width="27.33203125" bestFit="1" customWidth="1"/>
    <col min="4" max="4" width="12" customWidth="1"/>
  </cols>
  <sheetData>
    <row r="1" spans="1:4" ht="22.05" customHeight="1" x14ac:dyDescent="0.3">
      <c r="A1" s="32" t="s">
        <v>263</v>
      </c>
      <c r="B1" s="33"/>
      <c r="C1" s="33"/>
      <c r="D1" s="33"/>
    </row>
    <row r="2" spans="1:4" x14ac:dyDescent="0.3">
      <c r="A2" s="43" t="s">
        <v>264</v>
      </c>
      <c r="B2" s="33"/>
      <c r="C2" s="33"/>
      <c r="D2" s="33"/>
    </row>
    <row r="3" spans="1:4" x14ac:dyDescent="0.3">
      <c r="A3" s="33"/>
      <c r="B3" s="33"/>
      <c r="C3" s="33"/>
      <c r="D3" s="33"/>
    </row>
    <row r="5" spans="1:4" x14ac:dyDescent="0.3">
      <c r="A5" s="21" t="s">
        <v>260</v>
      </c>
      <c r="B5" s="21" t="s">
        <v>265</v>
      </c>
      <c r="C5" s="21" t="s">
        <v>219</v>
      </c>
      <c r="D5" s="21" t="s">
        <v>220</v>
      </c>
    </row>
    <row r="6" spans="1:4" x14ac:dyDescent="0.3">
      <c r="A6" s="2"/>
      <c r="B6" s="4">
        <v>2772</v>
      </c>
      <c r="C6" s="4">
        <v>187</v>
      </c>
      <c r="D6" s="4"/>
    </row>
    <row r="7" spans="1:4" x14ac:dyDescent="0.3">
      <c r="A7" s="2"/>
      <c r="B7" s="4">
        <v>1150</v>
      </c>
      <c r="C7" s="4">
        <v>148</v>
      </c>
      <c r="D7" s="4"/>
    </row>
    <row r="8" spans="1:4" x14ac:dyDescent="0.3">
      <c r="A8" s="2"/>
      <c r="B8" s="4">
        <v>1103</v>
      </c>
      <c r="C8" s="4">
        <v>0</v>
      </c>
      <c r="D8" s="4"/>
    </row>
    <row r="9" spans="1:4" x14ac:dyDescent="0.3">
      <c r="A9" s="2"/>
      <c r="B9" s="4">
        <v>1040</v>
      </c>
      <c r="C9" s="4">
        <v>0</v>
      </c>
      <c r="D9" s="4"/>
    </row>
    <row r="10" spans="1:4" x14ac:dyDescent="0.3">
      <c r="A10" s="2"/>
      <c r="B10" s="4">
        <v>943</v>
      </c>
      <c r="C10" s="4">
        <v>0</v>
      </c>
      <c r="D10" s="4"/>
    </row>
    <row r="11" spans="1:4" x14ac:dyDescent="0.3">
      <c r="A11" s="2"/>
      <c r="B11" s="4">
        <v>920</v>
      </c>
      <c r="C11" s="4">
        <v>67</v>
      </c>
      <c r="D11" s="4"/>
    </row>
    <row r="12" spans="1:4" x14ac:dyDescent="0.3">
      <c r="A12" s="2"/>
      <c r="B12" s="4">
        <v>836</v>
      </c>
      <c r="C12" s="4">
        <v>59</v>
      </c>
      <c r="D12" s="4"/>
    </row>
    <row r="13" spans="1:4" x14ac:dyDescent="0.3">
      <c r="A13" s="2"/>
      <c r="B13" s="4">
        <v>627</v>
      </c>
      <c r="C13" s="4">
        <v>122</v>
      </c>
      <c r="D13" s="4"/>
    </row>
    <row r="14" spans="1:4" x14ac:dyDescent="0.3">
      <c r="A14" s="2"/>
      <c r="B14" s="4">
        <v>607</v>
      </c>
      <c r="C14" s="4">
        <v>216</v>
      </c>
      <c r="D14" s="4"/>
    </row>
    <row r="15" spans="1:4" x14ac:dyDescent="0.3">
      <c r="A15" s="2"/>
      <c r="B15" s="4">
        <v>571</v>
      </c>
      <c r="C15" s="4">
        <v>8</v>
      </c>
      <c r="D15" s="4"/>
    </row>
    <row r="16" spans="1:4" x14ac:dyDescent="0.3">
      <c r="A16" s="2"/>
      <c r="B16" s="4">
        <v>552</v>
      </c>
      <c r="C16" s="4">
        <v>613</v>
      </c>
      <c r="D16" s="4"/>
    </row>
    <row r="17" spans="1:4" x14ac:dyDescent="0.3">
      <c r="A17" s="2"/>
      <c r="B17" s="4">
        <v>542</v>
      </c>
      <c r="C17" s="4">
        <v>92</v>
      </c>
      <c r="D17" s="4"/>
    </row>
    <row r="18" spans="1:4" x14ac:dyDescent="0.3">
      <c r="A18" s="2"/>
      <c r="B18" s="4">
        <v>484</v>
      </c>
      <c r="C18" s="4">
        <v>97</v>
      </c>
      <c r="D18" s="4"/>
    </row>
    <row r="19" spans="1:4" x14ac:dyDescent="0.3">
      <c r="A19" s="2"/>
      <c r="B19" s="4">
        <v>472</v>
      </c>
      <c r="C19" s="4">
        <v>30</v>
      </c>
      <c r="D19" s="4"/>
    </row>
    <row r="20" spans="1:4" x14ac:dyDescent="0.3">
      <c r="A20" s="2"/>
      <c r="B20" s="4">
        <v>456</v>
      </c>
      <c r="C20" s="4">
        <v>126</v>
      </c>
      <c r="D20" s="4"/>
    </row>
    <row r="21" spans="1:4" x14ac:dyDescent="0.3">
      <c r="A21" s="2"/>
      <c r="B21" s="4">
        <v>410</v>
      </c>
      <c r="C21" s="4">
        <v>73</v>
      </c>
      <c r="D21" s="4"/>
    </row>
    <row r="22" spans="1:4" x14ac:dyDescent="0.3">
      <c r="A22" s="2"/>
      <c r="B22" s="4">
        <v>375</v>
      </c>
      <c r="C22" s="4">
        <v>217</v>
      </c>
      <c r="D22" s="4"/>
    </row>
    <row r="23" spans="1:4" x14ac:dyDescent="0.3">
      <c r="A23" s="2"/>
      <c r="B23" s="4">
        <v>367</v>
      </c>
      <c r="C23" s="4">
        <v>22</v>
      </c>
      <c r="D23" s="4"/>
    </row>
    <row r="24" spans="1:4" x14ac:dyDescent="0.3">
      <c r="A24" s="2"/>
      <c r="B24" s="4">
        <v>363</v>
      </c>
      <c r="C24" s="4">
        <v>4</v>
      </c>
      <c r="D24" s="4"/>
    </row>
    <row r="25" spans="1:4" x14ac:dyDescent="0.3">
      <c r="A25" s="2"/>
      <c r="B25" s="4">
        <v>341</v>
      </c>
      <c r="C25" s="4">
        <v>97</v>
      </c>
      <c r="D25" s="4"/>
    </row>
    <row r="26" spans="1:4" x14ac:dyDescent="0.3">
      <c r="A26" s="2"/>
      <c r="B26" s="4">
        <v>333</v>
      </c>
      <c r="C26" s="4">
        <v>61</v>
      </c>
      <c r="D26" s="4"/>
    </row>
    <row r="27" spans="1:4" x14ac:dyDescent="0.3">
      <c r="A27" s="2"/>
      <c r="B27" s="4">
        <v>316</v>
      </c>
      <c r="C27" s="4">
        <v>51</v>
      </c>
      <c r="D27" s="4"/>
    </row>
    <row r="28" spans="1:4" x14ac:dyDescent="0.3">
      <c r="A28" s="2"/>
      <c r="B28" s="4">
        <v>305</v>
      </c>
      <c r="C28" s="4">
        <v>2</v>
      </c>
      <c r="D28" s="4"/>
    </row>
    <row r="29" spans="1:4" x14ac:dyDescent="0.3">
      <c r="A29" s="2"/>
      <c r="B29" s="4">
        <v>297</v>
      </c>
      <c r="C29" s="4">
        <v>12</v>
      </c>
      <c r="D29" s="4"/>
    </row>
    <row r="30" spans="1:4" x14ac:dyDescent="0.3">
      <c r="A30" s="2"/>
      <c r="B30" s="4">
        <v>296</v>
      </c>
      <c r="C30" s="4">
        <v>130</v>
      </c>
      <c r="D30" s="4"/>
    </row>
    <row r="31" spans="1:4" x14ac:dyDescent="0.3">
      <c r="A31" s="2"/>
      <c r="B31" s="4">
        <v>295</v>
      </c>
      <c r="C31" s="4">
        <v>295</v>
      </c>
      <c r="D31" s="4"/>
    </row>
    <row r="32" spans="1:4" x14ac:dyDescent="0.3">
      <c r="A32" s="2"/>
      <c r="B32" s="4">
        <v>294</v>
      </c>
      <c r="C32" s="4">
        <v>25</v>
      </c>
      <c r="D32" s="4"/>
    </row>
    <row r="33" spans="1:4" x14ac:dyDescent="0.3">
      <c r="A33" s="2"/>
      <c r="B33" s="4">
        <v>269</v>
      </c>
      <c r="C33" s="4">
        <v>11</v>
      </c>
      <c r="D33" s="4"/>
    </row>
    <row r="34" spans="1:4" x14ac:dyDescent="0.3">
      <c r="A34" s="2"/>
      <c r="B34" s="4">
        <v>264</v>
      </c>
      <c r="C34" s="4">
        <v>22</v>
      </c>
      <c r="D34" s="4"/>
    </row>
    <row r="35" spans="1:4" x14ac:dyDescent="0.3">
      <c r="A35" s="2"/>
      <c r="B35" s="4">
        <v>252</v>
      </c>
      <c r="C35" s="4">
        <v>22</v>
      </c>
      <c r="D35" s="4"/>
    </row>
    <row r="36" spans="1:4" x14ac:dyDescent="0.3">
      <c r="A36" s="2"/>
      <c r="B36" s="4">
        <v>243</v>
      </c>
      <c r="C36" s="4">
        <v>20</v>
      </c>
      <c r="D36" s="4"/>
    </row>
    <row r="37" spans="1:4" x14ac:dyDescent="0.3">
      <c r="A37" s="2"/>
      <c r="B37" s="4">
        <v>237</v>
      </c>
      <c r="C37" s="4">
        <v>25</v>
      </c>
      <c r="D37" s="4"/>
    </row>
    <row r="38" spans="1:4" x14ac:dyDescent="0.3">
      <c r="A38" s="2"/>
      <c r="B38" s="4">
        <v>232</v>
      </c>
      <c r="C38" s="4">
        <v>65</v>
      </c>
      <c r="D38" s="4"/>
    </row>
    <row r="39" spans="1:4" x14ac:dyDescent="0.3">
      <c r="A39" s="2"/>
      <c r="B39" s="4">
        <v>223</v>
      </c>
      <c r="C39" s="4">
        <v>23</v>
      </c>
      <c r="D39" s="4"/>
    </row>
    <row r="40" spans="1:4" x14ac:dyDescent="0.3">
      <c r="A40" s="2"/>
      <c r="B40" s="4">
        <v>216</v>
      </c>
      <c r="C40" s="4">
        <v>76</v>
      </c>
      <c r="D40" s="4"/>
    </row>
    <row r="41" spans="1:4" x14ac:dyDescent="0.3">
      <c r="A41" s="2"/>
      <c r="B41" s="4">
        <v>200</v>
      </c>
      <c r="C41" s="4">
        <v>54</v>
      </c>
      <c r="D41" s="4"/>
    </row>
    <row r="42" spans="1:4" x14ac:dyDescent="0.3">
      <c r="A42" s="2"/>
      <c r="B42" s="4">
        <v>189</v>
      </c>
      <c r="C42" s="4">
        <v>37</v>
      </c>
      <c r="D42" s="4"/>
    </row>
    <row r="43" spans="1:4" x14ac:dyDescent="0.3">
      <c r="A43" s="2"/>
      <c r="B43" s="4">
        <v>186</v>
      </c>
      <c r="C43" s="4">
        <v>209</v>
      </c>
      <c r="D43" s="4"/>
    </row>
    <row r="44" spans="1:4" x14ac:dyDescent="0.3">
      <c r="A44" s="2"/>
      <c r="B44" s="4">
        <v>177</v>
      </c>
      <c r="C44" s="4">
        <v>0</v>
      </c>
      <c r="D44" s="4"/>
    </row>
    <row r="45" spans="1:4" x14ac:dyDescent="0.3">
      <c r="A45" s="2"/>
      <c r="B45" s="4">
        <v>169</v>
      </c>
      <c r="C45" s="4">
        <v>46</v>
      </c>
      <c r="D45" s="4"/>
    </row>
    <row r="46" spans="1:4" x14ac:dyDescent="0.3">
      <c r="A46" s="2"/>
      <c r="B46" s="4">
        <v>169</v>
      </c>
      <c r="C46" s="4">
        <v>0</v>
      </c>
      <c r="D46" s="4"/>
    </row>
    <row r="47" spans="1:4" x14ac:dyDescent="0.3">
      <c r="A47" s="2"/>
      <c r="B47" s="4">
        <v>160</v>
      </c>
      <c r="C47" s="4">
        <v>31</v>
      </c>
      <c r="D47" s="4"/>
    </row>
    <row r="48" spans="1:4" x14ac:dyDescent="0.3">
      <c r="A48" s="2"/>
      <c r="B48" s="4">
        <v>143</v>
      </c>
      <c r="C48" s="4">
        <v>41</v>
      </c>
      <c r="D48" s="4"/>
    </row>
    <row r="49" spans="1:4" x14ac:dyDescent="0.3">
      <c r="A49" s="2"/>
      <c r="B49" s="4">
        <v>143</v>
      </c>
      <c r="C49" s="4">
        <v>63</v>
      </c>
      <c r="D49" s="4"/>
    </row>
    <row r="50" spans="1:4" x14ac:dyDescent="0.3">
      <c r="A50" s="2"/>
      <c r="B50" s="4">
        <v>138</v>
      </c>
      <c r="C50" s="4">
        <v>34</v>
      </c>
      <c r="D50" s="4"/>
    </row>
    <row r="51" spans="1:4" x14ac:dyDescent="0.3">
      <c r="A51" s="2"/>
      <c r="B51" s="4">
        <v>134</v>
      </c>
      <c r="C51" s="4">
        <v>135</v>
      </c>
      <c r="D51" s="4"/>
    </row>
    <row r="52" spans="1:4" x14ac:dyDescent="0.3">
      <c r="A52" s="2"/>
      <c r="B52" s="4">
        <v>132</v>
      </c>
      <c r="C52" s="4">
        <v>6</v>
      </c>
      <c r="D52" s="4"/>
    </row>
    <row r="53" spans="1:4" x14ac:dyDescent="0.3">
      <c r="A53" s="2"/>
      <c r="B53" s="4">
        <v>131</v>
      </c>
      <c r="C53" s="4">
        <v>0</v>
      </c>
      <c r="D53" s="4"/>
    </row>
    <row r="54" spans="1:4" x14ac:dyDescent="0.3">
      <c r="A54" s="2"/>
      <c r="B54" s="4">
        <v>131</v>
      </c>
      <c r="C54" s="4">
        <v>1</v>
      </c>
      <c r="D54" s="4"/>
    </row>
    <row r="55" spans="1:4" x14ac:dyDescent="0.3">
      <c r="A55" s="2"/>
      <c r="B55" s="4">
        <v>126</v>
      </c>
      <c r="C55" s="4">
        <v>6</v>
      </c>
      <c r="D55" s="4"/>
    </row>
    <row r="56" spans="1:4" x14ac:dyDescent="0.3">
      <c r="A56" s="2"/>
      <c r="B56" s="4">
        <v>126</v>
      </c>
      <c r="C56" s="4">
        <v>19</v>
      </c>
      <c r="D56" s="4"/>
    </row>
    <row r="57" spans="1:4" x14ac:dyDescent="0.3">
      <c r="A57" s="2"/>
      <c r="B57" s="4">
        <v>122</v>
      </c>
      <c r="C57" s="4">
        <v>27</v>
      </c>
      <c r="D57" s="4"/>
    </row>
    <row r="58" spans="1:4" x14ac:dyDescent="0.3">
      <c r="A58" s="2"/>
      <c r="B58" s="4">
        <v>122</v>
      </c>
      <c r="C58" s="4">
        <v>124</v>
      </c>
      <c r="D58" s="4"/>
    </row>
    <row r="59" spans="1:4" x14ac:dyDescent="0.3">
      <c r="A59" s="2"/>
      <c r="B59" s="4">
        <v>121</v>
      </c>
      <c r="C59" s="4">
        <v>8</v>
      </c>
      <c r="D59" s="4"/>
    </row>
    <row r="60" spans="1:4" x14ac:dyDescent="0.3">
      <c r="A60" s="2"/>
      <c r="B60" s="4">
        <v>120</v>
      </c>
      <c r="C60" s="4">
        <v>32</v>
      </c>
      <c r="D60" s="4"/>
    </row>
    <row r="61" spans="1:4" x14ac:dyDescent="0.3">
      <c r="A61" s="2"/>
      <c r="B61" s="4">
        <v>116</v>
      </c>
      <c r="C61" s="4">
        <v>9</v>
      </c>
      <c r="D61" s="4"/>
    </row>
    <row r="62" spans="1:4" x14ac:dyDescent="0.3">
      <c r="A62" s="2"/>
      <c r="B62" s="4">
        <v>111</v>
      </c>
      <c r="C62" s="4">
        <v>111</v>
      </c>
      <c r="D62" s="4"/>
    </row>
    <row r="63" spans="1:4" x14ac:dyDescent="0.3">
      <c r="A63" s="2"/>
      <c r="B63" s="4">
        <v>99</v>
      </c>
      <c r="C63" s="4">
        <v>0</v>
      </c>
      <c r="D63" s="4"/>
    </row>
    <row r="64" spans="1:4" x14ac:dyDescent="0.3">
      <c r="A64" s="2"/>
      <c r="B64" s="4">
        <v>96</v>
      </c>
      <c r="C64" s="4">
        <v>29</v>
      </c>
      <c r="D64" s="4"/>
    </row>
    <row r="65" spans="1:4" x14ac:dyDescent="0.3">
      <c r="A65" s="2"/>
      <c r="B65" s="4">
        <v>95</v>
      </c>
      <c r="C65" s="4">
        <v>6</v>
      </c>
      <c r="D65" s="4"/>
    </row>
    <row r="66" spans="1:4" x14ac:dyDescent="0.3">
      <c r="A66" s="2"/>
      <c r="B66" s="4">
        <v>95</v>
      </c>
      <c r="C66" s="4">
        <v>2</v>
      </c>
      <c r="D66" s="4"/>
    </row>
    <row r="67" spans="1:4" x14ac:dyDescent="0.3">
      <c r="A67" s="2"/>
      <c r="B67" s="4">
        <v>94</v>
      </c>
      <c r="C67" s="4">
        <v>30</v>
      </c>
      <c r="D67" s="4"/>
    </row>
    <row r="68" spans="1:4" x14ac:dyDescent="0.3">
      <c r="A68" s="2"/>
      <c r="B68" s="4">
        <v>92</v>
      </c>
      <c r="C68" s="4">
        <v>17</v>
      </c>
      <c r="D68" s="4"/>
    </row>
    <row r="69" spans="1:4" x14ac:dyDescent="0.3">
      <c r="A69" s="2"/>
      <c r="B69" s="4">
        <v>91</v>
      </c>
      <c r="C69" s="4">
        <v>91</v>
      </c>
      <c r="D69" s="4"/>
    </row>
    <row r="70" spans="1:4" x14ac:dyDescent="0.3">
      <c r="A70" s="2"/>
      <c r="B70" s="4">
        <v>90</v>
      </c>
      <c r="C70" s="4">
        <v>3</v>
      </c>
      <c r="D70" s="4"/>
    </row>
    <row r="71" spans="1:4" x14ac:dyDescent="0.3">
      <c r="A71" s="2"/>
      <c r="B71" s="4">
        <v>88</v>
      </c>
      <c r="C71" s="4">
        <v>12</v>
      </c>
      <c r="D71" s="4"/>
    </row>
    <row r="72" spans="1:4" x14ac:dyDescent="0.3">
      <c r="A72" s="2"/>
      <c r="B72" s="4">
        <v>86</v>
      </c>
      <c r="C72" s="4">
        <v>24</v>
      </c>
      <c r="D72" s="4"/>
    </row>
    <row r="73" spans="1:4" x14ac:dyDescent="0.3">
      <c r="A73" s="2"/>
      <c r="B73" s="4">
        <v>85</v>
      </c>
      <c r="C73" s="4">
        <v>32</v>
      </c>
      <c r="D73" s="4"/>
    </row>
    <row r="74" spans="1:4" x14ac:dyDescent="0.3">
      <c r="A74" s="2"/>
      <c r="B74" s="4">
        <v>83</v>
      </c>
      <c r="C74" s="4">
        <v>1</v>
      </c>
      <c r="D74" s="4"/>
    </row>
    <row r="75" spans="1:4" x14ac:dyDescent="0.3">
      <c r="A75" s="2"/>
      <c r="B75" s="4">
        <v>77</v>
      </c>
      <c r="C75" s="4">
        <v>4</v>
      </c>
      <c r="D75" s="4"/>
    </row>
    <row r="76" spans="1:4" x14ac:dyDescent="0.3">
      <c r="A76" s="2"/>
      <c r="B76" s="4">
        <v>76</v>
      </c>
      <c r="C76" s="4">
        <v>2</v>
      </c>
      <c r="D76" s="4"/>
    </row>
    <row r="77" spans="1:4" x14ac:dyDescent="0.3">
      <c r="A77" s="2"/>
      <c r="B77" s="4">
        <v>75</v>
      </c>
      <c r="C77" s="4">
        <v>3</v>
      </c>
      <c r="D77" s="4"/>
    </row>
    <row r="78" spans="1:4" x14ac:dyDescent="0.3">
      <c r="A78" s="2"/>
      <c r="B78" s="4">
        <v>75</v>
      </c>
      <c r="C78" s="4">
        <v>74</v>
      </c>
      <c r="D78" s="4"/>
    </row>
    <row r="79" spans="1:4" x14ac:dyDescent="0.3">
      <c r="A79" s="2"/>
      <c r="B79" s="4">
        <v>72</v>
      </c>
      <c r="C79" s="4">
        <v>0</v>
      </c>
      <c r="D79" s="4"/>
    </row>
    <row r="80" spans="1:4" x14ac:dyDescent="0.3">
      <c r="A80" s="2"/>
      <c r="B80" s="4">
        <v>71</v>
      </c>
      <c r="C80" s="4">
        <v>0</v>
      </c>
      <c r="D80" s="4"/>
    </row>
    <row r="81" spans="1:4" x14ac:dyDescent="0.3">
      <c r="A81" s="2"/>
      <c r="B81" s="4">
        <v>70</v>
      </c>
      <c r="C81" s="4">
        <v>99</v>
      </c>
      <c r="D81" s="4"/>
    </row>
    <row r="82" spans="1:4" x14ac:dyDescent="0.3">
      <c r="A82" s="2"/>
      <c r="B82" s="4">
        <v>70</v>
      </c>
      <c r="C82" s="4">
        <v>11</v>
      </c>
      <c r="D82" s="4"/>
    </row>
    <row r="83" spans="1:4" x14ac:dyDescent="0.3">
      <c r="A83" s="2"/>
      <c r="B83" s="4">
        <v>69</v>
      </c>
      <c r="C83" s="4">
        <v>1</v>
      </c>
      <c r="D83" s="4"/>
    </row>
    <row r="84" spans="1:4" x14ac:dyDescent="0.3">
      <c r="A84" s="2"/>
      <c r="B84" s="4">
        <v>67</v>
      </c>
      <c r="C84" s="4">
        <v>3</v>
      </c>
      <c r="D84" s="4"/>
    </row>
    <row r="85" spans="1:4" x14ac:dyDescent="0.3">
      <c r="A85" s="2"/>
      <c r="B85" s="4">
        <v>66</v>
      </c>
      <c r="C85" s="4">
        <v>10</v>
      </c>
      <c r="D85" s="4"/>
    </row>
    <row r="86" spans="1:4" x14ac:dyDescent="0.3">
      <c r="A86" s="2"/>
      <c r="B86" s="4">
        <v>66</v>
      </c>
      <c r="C86" s="4">
        <v>0</v>
      </c>
      <c r="D86" s="4"/>
    </row>
    <row r="87" spans="1:4" x14ac:dyDescent="0.3">
      <c r="A87" s="2"/>
      <c r="B87" s="4">
        <v>65</v>
      </c>
      <c r="C87" s="4">
        <v>19</v>
      </c>
      <c r="D87" s="4"/>
    </row>
    <row r="88" spans="1:4" x14ac:dyDescent="0.3">
      <c r="A88" s="2"/>
      <c r="B88" s="4">
        <v>65</v>
      </c>
      <c r="C88" s="4">
        <v>0</v>
      </c>
      <c r="D88" s="4"/>
    </row>
    <row r="89" spans="1:4" x14ac:dyDescent="0.3">
      <c r="A89" s="2"/>
      <c r="B89" s="4">
        <v>63</v>
      </c>
      <c r="C89" s="4">
        <v>3</v>
      </c>
      <c r="D89" s="4"/>
    </row>
    <row r="90" spans="1:4" x14ac:dyDescent="0.3">
      <c r="A90" s="2"/>
      <c r="B90" s="4">
        <v>62</v>
      </c>
      <c r="C90" s="4">
        <v>8</v>
      </c>
      <c r="D90" s="4"/>
    </row>
    <row r="91" spans="1:4" x14ac:dyDescent="0.3">
      <c r="A91" s="2"/>
      <c r="B91" s="4">
        <v>58</v>
      </c>
      <c r="C91" s="4">
        <v>2</v>
      </c>
      <c r="D91" s="4"/>
    </row>
    <row r="92" spans="1:4" x14ac:dyDescent="0.3">
      <c r="A92" s="2"/>
      <c r="B92" s="4">
        <v>58</v>
      </c>
      <c r="C92" s="4">
        <v>2</v>
      </c>
      <c r="D92" s="4"/>
    </row>
    <row r="93" spans="1:4" x14ac:dyDescent="0.3">
      <c r="A93" s="2"/>
      <c r="B93" s="4">
        <v>57</v>
      </c>
      <c r="C93" s="4">
        <v>1</v>
      </c>
      <c r="D93" s="4"/>
    </row>
    <row r="94" spans="1:4" x14ac:dyDescent="0.3">
      <c r="A94" s="2"/>
      <c r="B94" s="4">
        <v>56</v>
      </c>
      <c r="C94" s="4">
        <v>58</v>
      </c>
      <c r="D94" s="4"/>
    </row>
    <row r="95" spans="1:4" x14ac:dyDescent="0.3">
      <c r="A95" s="2"/>
      <c r="B95" s="4">
        <v>55</v>
      </c>
      <c r="C95" s="4">
        <v>9</v>
      </c>
      <c r="D95" s="4"/>
    </row>
    <row r="96" spans="1:4" x14ac:dyDescent="0.3">
      <c r="A96" s="2"/>
      <c r="B96" s="4">
        <v>55</v>
      </c>
      <c r="C96" s="4">
        <v>10</v>
      </c>
      <c r="D96" s="4"/>
    </row>
    <row r="97" spans="1:4" x14ac:dyDescent="0.3">
      <c r="A97" s="2"/>
      <c r="B97" s="4">
        <v>53</v>
      </c>
      <c r="C97" s="4">
        <v>25</v>
      </c>
      <c r="D97" s="4"/>
    </row>
    <row r="98" spans="1:4" x14ac:dyDescent="0.3">
      <c r="A98" s="2"/>
      <c r="B98" s="4">
        <v>52</v>
      </c>
      <c r="C98" s="4">
        <v>5</v>
      </c>
      <c r="D98" s="4"/>
    </row>
    <row r="99" spans="1:4" x14ac:dyDescent="0.3">
      <c r="A99" s="2"/>
      <c r="B99" s="4">
        <v>51</v>
      </c>
      <c r="C99" s="4">
        <v>21</v>
      </c>
      <c r="D99" s="4"/>
    </row>
    <row r="100" spans="1:4" x14ac:dyDescent="0.3">
      <c r="A100" s="2"/>
      <c r="B100" s="4">
        <v>51</v>
      </c>
      <c r="C100" s="4">
        <v>3</v>
      </c>
      <c r="D100" s="4"/>
    </row>
    <row r="101" spans="1:4" x14ac:dyDescent="0.3">
      <c r="A101" s="2"/>
      <c r="B101" s="4">
        <v>51</v>
      </c>
      <c r="C101" s="4">
        <v>19</v>
      </c>
      <c r="D101" s="4"/>
    </row>
    <row r="102" spans="1:4" x14ac:dyDescent="0.3">
      <c r="A102" s="2"/>
      <c r="B102" s="4">
        <v>51</v>
      </c>
      <c r="C102" s="4">
        <v>0</v>
      </c>
      <c r="D102" s="4"/>
    </row>
    <row r="103" spans="1:4" x14ac:dyDescent="0.3">
      <c r="A103" s="2"/>
      <c r="B103" s="4">
        <v>50</v>
      </c>
      <c r="C103" s="4">
        <v>0</v>
      </c>
      <c r="D103" s="4"/>
    </row>
    <row r="104" spans="1:4" x14ac:dyDescent="0.3">
      <c r="A104" s="2"/>
      <c r="B104" s="4">
        <v>49</v>
      </c>
      <c r="C104" s="4">
        <v>5</v>
      </c>
      <c r="D104" s="4"/>
    </row>
    <row r="105" spans="1:4" x14ac:dyDescent="0.3">
      <c r="A105" s="2"/>
      <c r="B105" s="4">
        <v>49</v>
      </c>
      <c r="C105" s="4">
        <v>49</v>
      </c>
      <c r="D105" s="4"/>
    </row>
    <row r="106" spans="1:4" x14ac:dyDescent="0.3">
      <c r="A106" s="2"/>
      <c r="B106" s="4">
        <v>49</v>
      </c>
      <c r="C106" s="4">
        <v>12</v>
      </c>
      <c r="D106" s="4"/>
    </row>
    <row r="107" spans="1:4" x14ac:dyDescent="0.3">
      <c r="A107" s="2"/>
      <c r="B107" s="4">
        <v>48</v>
      </c>
      <c r="C107" s="4">
        <v>6</v>
      </c>
      <c r="D107" s="4"/>
    </row>
    <row r="108" spans="1:4" x14ac:dyDescent="0.3">
      <c r="A108" s="2"/>
      <c r="B108" s="4">
        <v>47</v>
      </c>
      <c r="C108" s="4">
        <v>30</v>
      </c>
      <c r="D108" s="4"/>
    </row>
    <row r="109" spans="1:4" x14ac:dyDescent="0.3">
      <c r="A109" s="2"/>
      <c r="B109" s="4">
        <v>46</v>
      </c>
      <c r="C109" s="4">
        <v>26</v>
      </c>
      <c r="D109" s="4"/>
    </row>
    <row r="110" spans="1:4" x14ac:dyDescent="0.3">
      <c r="A110" s="2"/>
      <c r="B110" s="4">
        <v>45</v>
      </c>
      <c r="C110" s="4">
        <v>0</v>
      </c>
      <c r="D110" s="4"/>
    </row>
    <row r="111" spans="1:4" x14ac:dyDescent="0.3">
      <c r="A111" s="2"/>
      <c r="B111" s="4">
        <v>45</v>
      </c>
      <c r="C111" s="4">
        <v>8</v>
      </c>
      <c r="D111" s="4"/>
    </row>
    <row r="112" spans="1:4" x14ac:dyDescent="0.3">
      <c r="A112" s="2"/>
      <c r="B112" s="4">
        <v>44</v>
      </c>
      <c r="C112" s="4">
        <v>0</v>
      </c>
      <c r="D112" s="4"/>
    </row>
    <row r="113" spans="1:4" x14ac:dyDescent="0.3">
      <c r="A113" s="2"/>
      <c r="B113" s="4">
        <v>42</v>
      </c>
      <c r="C113" s="4">
        <v>0</v>
      </c>
      <c r="D113" s="4"/>
    </row>
    <row r="114" spans="1:4" x14ac:dyDescent="0.3">
      <c r="A114" s="2"/>
      <c r="B114" s="4">
        <v>42</v>
      </c>
      <c r="C114" s="4">
        <v>9</v>
      </c>
      <c r="D114" s="4"/>
    </row>
    <row r="115" spans="1:4" x14ac:dyDescent="0.3">
      <c r="A115" s="2"/>
      <c r="B115" s="4">
        <v>42</v>
      </c>
      <c r="C115" s="4">
        <v>6</v>
      </c>
      <c r="D115" s="4"/>
    </row>
    <row r="116" spans="1:4" x14ac:dyDescent="0.3">
      <c r="A116" s="2"/>
      <c r="B116" s="4">
        <v>42</v>
      </c>
      <c r="C116" s="4">
        <v>12</v>
      </c>
      <c r="D116" s="4"/>
    </row>
    <row r="117" spans="1:4" x14ac:dyDescent="0.3">
      <c r="A117" s="2"/>
      <c r="B117" s="4">
        <v>41</v>
      </c>
      <c r="C117" s="4">
        <v>2</v>
      </c>
      <c r="D117" s="4"/>
    </row>
    <row r="118" spans="1:4" x14ac:dyDescent="0.3">
      <c r="A118" s="2"/>
      <c r="B118" s="4">
        <v>40</v>
      </c>
      <c r="C118" s="4">
        <v>0</v>
      </c>
      <c r="D118" s="4"/>
    </row>
    <row r="119" spans="1:4" x14ac:dyDescent="0.3">
      <c r="A119" s="2"/>
      <c r="B119" s="4">
        <v>40</v>
      </c>
      <c r="C119" s="4">
        <v>11</v>
      </c>
      <c r="D119" s="4"/>
    </row>
    <row r="120" spans="1:4" x14ac:dyDescent="0.3">
      <c r="A120" s="2"/>
      <c r="B120" s="4">
        <v>40</v>
      </c>
      <c r="C120" s="4">
        <v>4</v>
      </c>
      <c r="D120" s="4"/>
    </row>
    <row r="121" spans="1:4" x14ac:dyDescent="0.3">
      <c r="A121" s="2"/>
      <c r="B121" s="4">
        <v>40</v>
      </c>
      <c r="C121" s="4">
        <v>0</v>
      </c>
      <c r="D121" s="4"/>
    </row>
    <row r="122" spans="1:4" x14ac:dyDescent="0.3">
      <c r="A122" s="2"/>
      <c r="B122" s="4">
        <v>39</v>
      </c>
      <c r="C122" s="4">
        <v>0</v>
      </c>
      <c r="D122" s="4"/>
    </row>
    <row r="123" spans="1:4" x14ac:dyDescent="0.3">
      <c r="A123" s="2"/>
      <c r="B123" s="4">
        <v>39</v>
      </c>
      <c r="C123" s="4">
        <v>7</v>
      </c>
      <c r="D123" s="4"/>
    </row>
    <row r="124" spans="1:4" x14ac:dyDescent="0.3">
      <c r="A124" s="2"/>
      <c r="B124" s="4">
        <v>38</v>
      </c>
      <c r="C124" s="4">
        <v>6</v>
      </c>
      <c r="D124" s="4"/>
    </row>
    <row r="125" spans="1:4" x14ac:dyDescent="0.3">
      <c r="A125" s="2"/>
      <c r="B125" s="4">
        <v>38</v>
      </c>
      <c r="C125" s="4">
        <v>1</v>
      </c>
      <c r="D125" s="4"/>
    </row>
    <row r="126" spans="1:4" x14ac:dyDescent="0.3">
      <c r="A126" s="2"/>
      <c r="B126" s="4">
        <v>38</v>
      </c>
      <c r="C126" s="4">
        <v>1</v>
      </c>
      <c r="D126" s="4"/>
    </row>
    <row r="127" spans="1:4" x14ac:dyDescent="0.3">
      <c r="A127" s="2"/>
      <c r="B127" s="4">
        <v>36</v>
      </c>
      <c r="C127" s="4">
        <v>10</v>
      </c>
      <c r="D127" s="4"/>
    </row>
    <row r="128" spans="1:4" x14ac:dyDescent="0.3">
      <c r="A128" s="2"/>
      <c r="B128" s="4">
        <v>36</v>
      </c>
      <c r="C128" s="4">
        <v>36</v>
      </c>
      <c r="D128" s="4"/>
    </row>
    <row r="129" spans="1:4" x14ac:dyDescent="0.3">
      <c r="A129" s="2"/>
      <c r="B129" s="4">
        <v>36</v>
      </c>
      <c r="C129" s="4">
        <v>0</v>
      </c>
      <c r="D129" s="4"/>
    </row>
    <row r="130" spans="1:4" x14ac:dyDescent="0.3">
      <c r="A130" s="2"/>
      <c r="B130" s="4">
        <v>36</v>
      </c>
      <c r="C130" s="4">
        <v>0</v>
      </c>
      <c r="D130" s="4"/>
    </row>
    <row r="131" spans="1:4" x14ac:dyDescent="0.3">
      <c r="A131" s="2"/>
      <c r="B131" s="4">
        <v>36</v>
      </c>
      <c r="C131" s="4">
        <v>11</v>
      </c>
      <c r="D131" s="4"/>
    </row>
    <row r="132" spans="1:4" x14ac:dyDescent="0.3">
      <c r="A132" s="2"/>
      <c r="B132" s="4">
        <v>36</v>
      </c>
      <c r="C132" s="4">
        <v>1</v>
      </c>
      <c r="D132" s="4"/>
    </row>
    <row r="133" spans="1:4" x14ac:dyDescent="0.3">
      <c r="A133" s="2"/>
      <c r="B133" s="4">
        <v>35</v>
      </c>
      <c r="C133" s="4">
        <v>1</v>
      </c>
      <c r="D133" s="4"/>
    </row>
    <row r="134" spans="1:4" x14ac:dyDescent="0.3">
      <c r="A134" s="2"/>
      <c r="B134" s="4">
        <v>34</v>
      </c>
      <c r="C134" s="4">
        <v>2</v>
      </c>
      <c r="D134" s="4"/>
    </row>
    <row r="135" spans="1:4" x14ac:dyDescent="0.3">
      <c r="A135" s="2"/>
      <c r="B135" s="4">
        <v>33</v>
      </c>
      <c r="C135" s="4">
        <v>15</v>
      </c>
      <c r="D135" s="4"/>
    </row>
    <row r="136" spans="1:4" x14ac:dyDescent="0.3">
      <c r="A136" s="2"/>
      <c r="B136" s="4">
        <v>33</v>
      </c>
      <c r="C136" s="4">
        <v>0</v>
      </c>
      <c r="D136" s="4"/>
    </row>
    <row r="137" spans="1:4" x14ac:dyDescent="0.3">
      <c r="A137" s="2"/>
      <c r="B137" s="4">
        <v>33</v>
      </c>
      <c r="C137" s="4">
        <v>13</v>
      </c>
      <c r="D137" s="4"/>
    </row>
    <row r="138" spans="1:4" x14ac:dyDescent="0.3">
      <c r="A138" s="2"/>
      <c r="B138" s="4">
        <v>32</v>
      </c>
      <c r="C138" s="4">
        <v>17</v>
      </c>
      <c r="D138" s="4"/>
    </row>
    <row r="139" spans="1:4" x14ac:dyDescent="0.3">
      <c r="A139" s="2"/>
      <c r="B139" s="4">
        <v>32</v>
      </c>
      <c r="C139" s="4">
        <v>1</v>
      </c>
      <c r="D139" s="4"/>
    </row>
    <row r="140" spans="1:4" x14ac:dyDescent="0.3">
      <c r="A140" s="2"/>
      <c r="B140" s="4">
        <v>32</v>
      </c>
      <c r="C140" s="4">
        <v>0</v>
      </c>
      <c r="D140" s="4"/>
    </row>
    <row r="141" spans="1:4" x14ac:dyDescent="0.3">
      <c r="A141" s="2"/>
      <c r="B141" s="4">
        <v>32</v>
      </c>
      <c r="C141" s="4">
        <v>10</v>
      </c>
      <c r="D141" s="4"/>
    </row>
    <row r="142" spans="1:4" x14ac:dyDescent="0.3">
      <c r="A142" s="2"/>
      <c r="B142" s="4">
        <v>32</v>
      </c>
      <c r="C142" s="4">
        <v>0</v>
      </c>
      <c r="D142" s="4"/>
    </row>
    <row r="143" spans="1:4" x14ac:dyDescent="0.3">
      <c r="A143" s="2"/>
      <c r="B143" s="4">
        <v>31</v>
      </c>
      <c r="C143" s="4">
        <v>29</v>
      </c>
      <c r="D143" s="4"/>
    </row>
    <row r="144" spans="1:4" x14ac:dyDescent="0.3">
      <c r="A144" s="2"/>
      <c r="B144" s="4">
        <v>31</v>
      </c>
      <c r="C144" s="4">
        <v>32</v>
      </c>
      <c r="D144" s="4"/>
    </row>
    <row r="145" spans="1:4" x14ac:dyDescent="0.3">
      <c r="A145" s="2"/>
      <c r="B145" s="4">
        <v>31</v>
      </c>
      <c r="C145" s="4">
        <v>7</v>
      </c>
      <c r="D145" s="4"/>
    </row>
    <row r="146" spans="1:4" x14ac:dyDescent="0.3">
      <c r="A146" s="2"/>
      <c r="B146" s="4">
        <v>30</v>
      </c>
      <c r="C146" s="4">
        <v>0</v>
      </c>
      <c r="D146" s="4"/>
    </row>
    <row r="147" spans="1:4" x14ac:dyDescent="0.3">
      <c r="A147" s="2"/>
      <c r="B147" s="4">
        <v>30</v>
      </c>
      <c r="C147" s="4">
        <v>0</v>
      </c>
      <c r="D147" s="4"/>
    </row>
    <row r="148" spans="1:4" x14ac:dyDescent="0.3">
      <c r="A148" s="2"/>
      <c r="B148" s="4">
        <v>29</v>
      </c>
      <c r="C148" s="4">
        <v>5</v>
      </c>
      <c r="D148" s="4"/>
    </row>
    <row r="149" spans="1:4" x14ac:dyDescent="0.3">
      <c r="A149" s="2"/>
      <c r="B149" s="4">
        <v>29</v>
      </c>
      <c r="C149" s="4">
        <v>5</v>
      </c>
      <c r="D149" s="4"/>
    </row>
    <row r="150" spans="1:4" x14ac:dyDescent="0.3">
      <c r="A150" s="2"/>
      <c r="B150" s="4">
        <v>29</v>
      </c>
      <c r="C150" s="4">
        <v>2</v>
      </c>
      <c r="D150" s="4"/>
    </row>
    <row r="151" spans="1:4" x14ac:dyDescent="0.3">
      <c r="A151" s="2"/>
      <c r="B151" s="4">
        <v>29</v>
      </c>
      <c r="C151" s="4">
        <v>18</v>
      </c>
      <c r="D151" s="4"/>
    </row>
    <row r="152" spans="1:4" x14ac:dyDescent="0.3">
      <c r="A152" s="2"/>
      <c r="B152" s="4">
        <v>28</v>
      </c>
      <c r="C152" s="4">
        <v>0</v>
      </c>
      <c r="D152" s="4"/>
    </row>
    <row r="153" spans="1:4" x14ac:dyDescent="0.3">
      <c r="A153" s="2"/>
      <c r="B153" s="4">
        <v>28</v>
      </c>
      <c r="C153" s="4">
        <v>28</v>
      </c>
      <c r="D153" s="4"/>
    </row>
    <row r="154" spans="1:4" x14ac:dyDescent="0.3">
      <c r="A154" s="2"/>
      <c r="B154" s="4">
        <v>27</v>
      </c>
      <c r="C154" s="4">
        <v>14</v>
      </c>
      <c r="D154" s="4"/>
    </row>
    <row r="155" spans="1:4" x14ac:dyDescent="0.3">
      <c r="A155" s="2"/>
      <c r="B155" s="4">
        <v>27</v>
      </c>
      <c r="C155" s="4">
        <v>6</v>
      </c>
      <c r="D155" s="4"/>
    </row>
    <row r="156" spans="1:4" x14ac:dyDescent="0.3">
      <c r="A156" s="2"/>
      <c r="B156" s="4">
        <v>27</v>
      </c>
      <c r="C156" s="4">
        <v>2</v>
      </c>
      <c r="D156" s="4"/>
    </row>
    <row r="157" spans="1:4" x14ac:dyDescent="0.3">
      <c r="A157" s="2"/>
      <c r="B157" s="4">
        <v>26</v>
      </c>
      <c r="C157" s="4">
        <v>8</v>
      </c>
      <c r="D157" s="4"/>
    </row>
    <row r="158" spans="1:4" x14ac:dyDescent="0.3">
      <c r="A158" s="2"/>
      <c r="B158" s="4">
        <v>26</v>
      </c>
      <c r="C158" s="4">
        <v>4</v>
      </c>
      <c r="D158" s="4"/>
    </row>
    <row r="159" spans="1:4" x14ac:dyDescent="0.3">
      <c r="A159" s="2"/>
      <c r="B159" s="4">
        <v>25</v>
      </c>
      <c r="C159" s="4">
        <v>25</v>
      </c>
      <c r="D159" s="4"/>
    </row>
    <row r="160" spans="1:4" x14ac:dyDescent="0.3">
      <c r="A160" s="2"/>
      <c r="B160" s="4">
        <v>25</v>
      </c>
      <c r="C160" s="4">
        <v>2</v>
      </c>
      <c r="D160" s="4"/>
    </row>
    <row r="161" spans="1:4" x14ac:dyDescent="0.3">
      <c r="A161" s="2"/>
      <c r="B161" s="4">
        <v>24</v>
      </c>
      <c r="C161" s="4">
        <v>0</v>
      </c>
      <c r="D161" s="4"/>
    </row>
    <row r="162" spans="1:4" x14ac:dyDescent="0.3">
      <c r="A162" s="2"/>
      <c r="B162" s="4">
        <v>24</v>
      </c>
      <c r="C162" s="4">
        <v>10</v>
      </c>
      <c r="D162" s="4"/>
    </row>
    <row r="163" spans="1:4" x14ac:dyDescent="0.3">
      <c r="A163" s="2"/>
      <c r="B163" s="4">
        <v>23</v>
      </c>
      <c r="C163" s="4">
        <v>0</v>
      </c>
      <c r="D163" s="4"/>
    </row>
    <row r="164" spans="1:4" x14ac:dyDescent="0.3">
      <c r="A164" s="2"/>
      <c r="B164" s="4">
        <v>23</v>
      </c>
      <c r="C164" s="4">
        <v>0</v>
      </c>
      <c r="D164" s="4"/>
    </row>
    <row r="165" spans="1:4" x14ac:dyDescent="0.3">
      <c r="A165" s="2"/>
      <c r="B165" s="4">
        <v>23</v>
      </c>
      <c r="C165" s="4">
        <v>23</v>
      </c>
      <c r="D165" s="4"/>
    </row>
    <row r="166" spans="1:4" x14ac:dyDescent="0.3">
      <c r="A166" s="2"/>
      <c r="B166" s="4">
        <v>22</v>
      </c>
      <c r="C166" s="4">
        <v>0</v>
      </c>
      <c r="D166" s="4"/>
    </row>
    <row r="167" spans="1:4" x14ac:dyDescent="0.3">
      <c r="A167" s="2"/>
      <c r="B167" s="4">
        <v>22</v>
      </c>
      <c r="C167" s="4">
        <v>0</v>
      </c>
      <c r="D167" s="4"/>
    </row>
    <row r="168" spans="1:4" x14ac:dyDescent="0.3">
      <c r="A168" s="2"/>
      <c r="B168" s="4">
        <v>22</v>
      </c>
      <c r="C168" s="4">
        <v>22</v>
      </c>
      <c r="D168" s="4"/>
    </row>
    <row r="169" spans="1:4" x14ac:dyDescent="0.3">
      <c r="A169" s="2"/>
      <c r="B169" s="4">
        <v>21</v>
      </c>
      <c r="C169" s="4">
        <v>0</v>
      </c>
      <c r="D169" s="4"/>
    </row>
    <row r="170" spans="1:4" x14ac:dyDescent="0.3">
      <c r="A170" s="2"/>
      <c r="B170" s="4">
        <v>21</v>
      </c>
      <c r="C170" s="4">
        <v>9</v>
      </c>
      <c r="D170" s="4"/>
    </row>
    <row r="171" spans="1:4" x14ac:dyDescent="0.3">
      <c r="A171" s="2"/>
      <c r="B171" s="4">
        <v>21</v>
      </c>
      <c r="C171" s="4">
        <v>0</v>
      </c>
      <c r="D171" s="4"/>
    </row>
    <row r="172" spans="1:4" x14ac:dyDescent="0.3">
      <c r="A172" s="2"/>
      <c r="B172" s="4">
        <v>21</v>
      </c>
      <c r="C172" s="4">
        <v>0</v>
      </c>
      <c r="D172" s="4"/>
    </row>
    <row r="173" spans="1:4" x14ac:dyDescent="0.3">
      <c r="A173" s="2"/>
      <c r="B173" s="4">
        <v>21</v>
      </c>
      <c r="C173" s="4">
        <v>0</v>
      </c>
      <c r="D173" s="4"/>
    </row>
    <row r="174" spans="1:4" x14ac:dyDescent="0.3">
      <c r="A174" s="2"/>
      <c r="B174" s="4">
        <v>21</v>
      </c>
      <c r="C174" s="4">
        <v>0</v>
      </c>
      <c r="D174" s="4"/>
    </row>
    <row r="175" spans="1:4" x14ac:dyDescent="0.3">
      <c r="A175" s="2"/>
      <c r="B175" s="4">
        <v>21</v>
      </c>
      <c r="C175" s="4">
        <v>0</v>
      </c>
      <c r="D175" s="4"/>
    </row>
    <row r="176" spans="1:4" x14ac:dyDescent="0.3">
      <c r="A176" s="2"/>
      <c r="B176" s="4">
        <v>21</v>
      </c>
      <c r="C176" s="4">
        <v>2</v>
      </c>
      <c r="D176" s="4"/>
    </row>
    <row r="177" spans="1:4" x14ac:dyDescent="0.3">
      <c r="A177" s="2"/>
      <c r="B177" s="4">
        <v>20</v>
      </c>
      <c r="C177" s="4">
        <v>0</v>
      </c>
      <c r="D177" s="4"/>
    </row>
    <row r="178" spans="1:4" x14ac:dyDescent="0.3">
      <c r="A178" s="2"/>
      <c r="B178" s="4">
        <v>20</v>
      </c>
      <c r="C178" s="4">
        <v>8</v>
      </c>
      <c r="D178" s="4"/>
    </row>
    <row r="179" spans="1:4" x14ac:dyDescent="0.3">
      <c r="A179" s="2"/>
      <c r="B179" s="4">
        <v>20</v>
      </c>
      <c r="C179" s="4">
        <v>7</v>
      </c>
      <c r="D179" s="4"/>
    </row>
    <row r="180" spans="1:4" x14ac:dyDescent="0.3">
      <c r="A180" s="2"/>
      <c r="B180" s="4">
        <v>20</v>
      </c>
      <c r="C180" s="4">
        <v>7</v>
      </c>
      <c r="D180" s="4"/>
    </row>
    <row r="181" spans="1:4" x14ac:dyDescent="0.3">
      <c r="A181" s="2"/>
      <c r="B181" s="4">
        <v>20</v>
      </c>
      <c r="C181" s="4">
        <v>14</v>
      </c>
      <c r="D181" s="4"/>
    </row>
    <row r="182" spans="1:4" x14ac:dyDescent="0.3">
      <c r="A182" s="2"/>
      <c r="B182" s="4">
        <v>20</v>
      </c>
      <c r="C182" s="4">
        <v>5</v>
      </c>
      <c r="D182" s="4"/>
    </row>
    <row r="183" spans="1:4" x14ac:dyDescent="0.3">
      <c r="A183" s="2"/>
      <c r="B183" s="4">
        <v>20</v>
      </c>
      <c r="C183" s="4">
        <v>20</v>
      </c>
      <c r="D183" s="4"/>
    </row>
    <row r="184" spans="1:4" x14ac:dyDescent="0.3">
      <c r="A184" s="2"/>
      <c r="B184" s="4">
        <v>19</v>
      </c>
      <c r="C184" s="4">
        <v>7</v>
      </c>
      <c r="D184" s="4"/>
    </row>
    <row r="185" spans="1:4" x14ac:dyDescent="0.3">
      <c r="A185" s="2"/>
      <c r="B185" s="4">
        <v>19</v>
      </c>
      <c r="C185" s="4">
        <v>1</v>
      </c>
      <c r="D185" s="4"/>
    </row>
    <row r="186" spans="1:4" x14ac:dyDescent="0.3">
      <c r="A186" s="2"/>
      <c r="B186" s="4">
        <v>19</v>
      </c>
      <c r="C186" s="4">
        <v>5</v>
      </c>
      <c r="D186" s="4"/>
    </row>
    <row r="187" spans="1:4" x14ac:dyDescent="0.3">
      <c r="A187" s="2"/>
      <c r="B187" s="4">
        <v>19</v>
      </c>
      <c r="C187" s="4">
        <v>3</v>
      </c>
      <c r="D187" s="4"/>
    </row>
    <row r="188" spans="1:4" x14ac:dyDescent="0.3">
      <c r="A188" s="2"/>
      <c r="B188" s="4">
        <v>19</v>
      </c>
      <c r="C188" s="4">
        <v>0</v>
      </c>
      <c r="D188" s="4"/>
    </row>
    <row r="189" spans="1:4" x14ac:dyDescent="0.3">
      <c r="A189" s="2"/>
      <c r="B189" s="4">
        <v>18</v>
      </c>
      <c r="C189" s="4">
        <v>0</v>
      </c>
      <c r="D189" s="4"/>
    </row>
    <row r="190" spans="1:4" x14ac:dyDescent="0.3">
      <c r="A190" s="2"/>
      <c r="B190" s="4">
        <v>18</v>
      </c>
      <c r="C190" s="4">
        <v>0</v>
      </c>
      <c r="D190" s="4"/>
    </row>
    <row r="191" spans="1:4" x14ac:dyDescent="0.3">
      <c r="A191" s="2"/>
      <c r="B191" s="4">
        <v>18</v>
      </c>
      <c r="C191" s="4">
        <v>9</v>
      </c>
      <c r="D191" s="4"/>
    </row>
    <row r="192" spans="1:4" x14ac:dyDescent="0.3">
      <c r="A192" s="2"/>
      <c r="B192" s="4">
        <v>18</v>
      </c>
      <c r="C192" s="4">
        <v>6</v>
      </c>
      <c r="D192" s="4"/>
    </row>
    <row r="193" spans="1:4" x14ac:dyDescent="0.3">
      <c r="A193" s="2"/>
      <c r="B193" s="4">
        <v>17</v>
      </c>
      <c r="C193" s="4">
        <v>0</v>
      </c>
      <c r="D193" s="4"/>
    </row>
    <row r="194" spans="1:4" x14ac:dyDescent="0.3">
      <c r="A194" s="2"/>
      <c r="B194" s="4">
        <v>17</v>
      </c>
      <c r="C194" s="4">
        <v>0</v>
      </c>
      <c r="D194" s="4"/>
    </row>
    <row r="195" spans="1:4" x14ac:dyDescent="0.3">
      <c r="A195" s="2"/>
      <c r="B195" s="4">
        <v>17</v>
      </c>
      <c r="C195" s="4">
        <v>0</v>
      </c>
      <c r="D195" s="4"/>
    </row>
    <row r="196" spans="1:4" x14ac:dyDescent="0.3">
      <c r="A196" s="2"/>
      <c r="B196" s="4">
        <v>17</v>
      </c>
      <c r="C196" s="4">
        <v>1</v>
      </c>
      <c r="D196" s="4"/>
    </row>
    <row r="197" spans="1:4" x14ac:dyDescent="0.3">
      <c r="A197" s="2"/>
      <c r="B197" s="4">
        <v>17</v>
      </c>
      <c r="C197" s="4">
        <v>2</v>
      </c>
      <c r="D197" s="4"/>
    </row>
    <row r="198" spans="1:4" x14ac:dyDescent="0.3">
      <c r="A198" s="2"/>
      <c r="B198" s="4">
        <v>17</v>
      </c>
      <c r="C198" s="4">
        <v>0</v>
      </c>
      <c r="D198" s="4"/>
    </row>
    <row r="199" spans="1:4" x14ac:dyDescent="0.3">
      <c r="A199" s="2"/>
      <c r="B199" s="4">
        <v>17</v>
      </c>
      <c r="C199" s="4">
        <v>0</v>
      </c>
      <c r="D199" s="4"/>
    </row>
    <row r="200" spans="1:4" x14ac:dyDescent="0.3">
      <c r="A200" s="2"/>
      <c r="B200" s="4">
        <v>16</v>
      </c>
      <c r="C200" s="4">
        <v>0</v>
      </c>
      <c r="D200" s="4"/>
    </row>
    <row r="201" spans="1:4" x14ac:dyDescent="0.3">
      <c r="A201" s="2"/>
      <c r="B201" s="4">
        <v>16</v>
      </c>
      <c r="C201" s="4">
        <v>1</v>
      </c>
      <c r="D201" s="4"/>
    </row>
    <row r="202" spans="1:4" x14ac:dyDescent="0.3">
      <c r="A202" s="2"/>
      <c r="B202" s="4">
        <v>16</v>
      </c>
      <c r="C202" s="4">
        <v>0</v>
      </c>
      <c r="D202" s="4"/>
    </row>
    <row r="203" spans="1:4" x14ac:dyDescent="0.3">
      <c r="A203" s="2"/>
      <c r="B203" s="4">
        <v>16</v>
      </c>
      <c r="C203" s="4">
        <v>3</v>
      </c>
      <c r="D203" s="4"/>
    </row>
    <row r="204" spans="1:4" x14ac:dyDescent="0.3">
      <c r="A204" s="2"/>
      <c r="B204" s="4">
        <v>16</v>
      </c>
      <c r="C204" s="4">
        <v>0</v>
      </c>
      <c r="D204" s="4"/>
    </row>
    <row r="205" spans="1:4" x14ac:dyDescent="0.3">
      <c r="A205" s="2"/>
      <c r="B205" s="4">
        <v>16</v>
      </c>
      <c r="C205" s="4">
        <v>2</v>
      </c>
      <c r="D205" s="4"/>
    </row>
    <row r="206" spans="1:4" x14ac:dyDescent="0.3">
      <c r="A206" s="2"/>
      <c r="B206" s="4">
        <v>16</v>
      </c>
      <c r="C206" s="4">
        <v>0</v>
      </c>
      <c r="D206" s="4"/>
    </row>
    <row r="207" spans="1:4" x14ac:dyDescent="0.3">
      <c r="A207" s="2"/>
      <c r="B207" s="4">
        <v>15</v>
      </c>
      <c r="C207" s="4">
        <v>15</v>
      </c>
      <c r="D207" s="4"/>
    </row>
    <row r="208" spans="1:4" x14ac:dyDescent="0.3">
      <c r="A208" s="2"/>
      <c r="B208" s="4">
        <v>15</v>
      </c>
      <c r="C208" s="4">
        <v>1</v>
      </c>
      <c r="D208" s="4"/>
    </row>
    <row r="209" spans="1:4" x14ac:dyDescent="0.3">
      <c r="A209" s="2"/>
      <c r="B209" s="4">
        <v>15</v>
      </c>
      <c r="C209" s="4">
        <v>0</v>
      </c>
      <c r="D209" s="4"/>
    </row>
    <row r="210" spans="1:4" x14ac:dyDescent="0.3">
      <c r="A210" s="2"/>
      <c r="B210" s="4">
        <v>14</v>
      </c>
      <c r="C210" s="4">
        <v>16</v>
      </c>
      <c r="D210" s="4"/>
    </row>
    <row r="211" spans="1:4" x14ac:dyDescent="0.3">
      <c r="A211" s="2"/>
      <c r="B211" s="4">
        <v>14</v>
      </c>
      <c r="C211" s="4">
        <v>2</v>
      </c>
      <c r="D211" s="4"/>
    </row>
    <row r="212" spans="1:4" x14ac:dyDescent="0.3">
      <c r="A212" s="2"/>
      <c r="B212" s="4">
        <v>14</v>
      </c>
      <c r="C212" s="4">
        <v>0</v>
      </c>
      <c r="D212" s="4"/>
    </row>
    <row r="213" spans="1:4" x14ac:dyDescent="0.3">
      <c r="A213" s="2"/>
      <c r="B213" s="4">
        <v>14</v>
      </c>
      <c r="C213" s="4">
        <v>0</v>
      </c>
      <c r="D213" s="4"/>
    </row>
    <row r="214" spans="1:4" x14ac:dyDescent="0.3">
      <c r="A214" s="2"/>
      <c r="B214" s="4">
        <v>13</v>
      </c>
      <c r="C214" s="4">
        <v>0</v>
      </c>
      <c r="D214" s="4"/>
    </row>
    <row r="215" spans="1:4" x14ac:dyDescent="0.3">
      <c r="A215" s="2"/>
      <c r="B215" s="4">
        <v>13</v>
      </c>
      <c r="C215" s="4">
        <v>5</v>
      </c>
      <c r="D215" s="4"/>
    </row>
    <row r="216" spans="1:4" x14ac:dyDescent="0.3">
      <c r="A216" s="2"/>
      <c r="B216" s="4">
        <v>13</v>
      </c>
      <c r="C216" s="4">
        <v>9</v>
      </c>
      <c r="D216" s="4"/>
    </row>
    <row r="217" spans="1:4" x14ac:dyDescent="0.3">
      <c r="A217" s="2"/>
      <c r="B217" s="4">
        <v>13</v>
      </c>
      <c r="C217" s="4">
        <v>5</v>
      </c>
      <c r="D217" s="4"/>
    </row>
    <row r="218" spans="1:4" x14ac:dyDescent="0.3">
      <c r="A218" s="2"/>
      <c r="B218" s="4">
        <v>13</v>
      </c>
      <c r="C218" s="4">
        <v>0</v>
      </c>
      <c r="D218" s="4"/>
    </row>
    <row r="219" spans="1:4" x14ac:dyDescent="0.3">
      <c r="A219" s="2"/>
      <c r="B219" s="4">
        <v>13</v>
      </c>
      <c r="C219" s="4">
        <v>0</v>
      </c>
      <c r="D219" s="4"/>
    </row>
    <row r="220" spans="1:4" x14ac:dyDescent="0.3">
      <c r="A220" s="2"/>
      <c r="B220" s="4">
        <v>12</v>
      </c>
      <c r="C220" s="4">
        <v>0</v>
      </c>
      <c r="D220" s="4"/>
    </row>
    <row r="221" spans="1:4" x14ac:dyDescent="0.3">
      <c r="A221" s="2"/>
      <c r="B221" s="4">
        <v>12</v>
      </c>
      <c r="C221" s="4">
        <v>1</v>
      </c>
      <c r="D221" s="4"/>
    </row>
    <row r="222" spans="1:4" x14ac:dyDescent="0.3">
      <c r="A222" s="2"/>
      <c r="B222" s="4">
        <v>12</v>
      </c>
      <c r="C222" s="4">
        <v>0</v>
      </c>
      <c r="D222" s="4"/>
    </row>
    <row r="223" spans="1:4" x14ac:dyDescent="0.3">
      <c r="A223" s="2"/>
      <c r="B223" s="4">
        <v>11</v>
      </c>
      <c r="C223" s="4">
        <v>0</v>
      </c>
      <c r="D223" s="4"/>
    </row>
    <row r="224" spans="1:4" x14ac:dyDescent="0.3">
      <c r="A224" s="2"/>
      <c r="B224" s="4">
        <v>11</v>
      </c>
      <c r="C224" s="4">
        <v>0</v>
      </c>
      <c r="D224" s="4"/>
    </row>
    <row r="225" spans="1:4" x14ac:dyDescent="0.3">
      <c r="A225" s="2"/>
      <c r="B225" s="4">
        <v>11</v>
      </c>
      <c r="C225" s="4">
        <v>12</v>
      </c>
      <c r="D225" s="4"/>
    </row>
    <row r="226" spans="1:4" x14ac:dyDescent="0.3">
      <c r="A226" s="2"/>
      <c r="B226" s="4">
        <v>11</v>
      </c>
      <c r="C226" s="4">
        <v>0</v>
      </c>
      <c r="D226" s="4"/>
    </row>
    <row r="227" spans="1:4" x14ac:dyDescent="0.3">
      <c r="A227" s="2"/>
      <c r="B227" s="4">
        <v>11</v>
      </c>
      <c r="C227" s="4">
        <v>2</v>
      </c>
      <c r="D227" s="4"/>
    </row>
    <row r="228" spans="1:4" x14ac:dyDescent="0.3">
      <c r="A228" s="2"/>
      <c r="B228" s="4">
        <v>10</v>
      </c>
      <c r="C228" s="4">
        <v>0</v>
      </c>
      <c r="D228" s="4"/>
    </row>
    <row r="229" spans="1:4" x14ac:dyDescent="0.3">
      <c r="A229" s="2"/>
      <c r="B229" s="4">
        <v>10</v>
      </c>
      <c r="C229" s="4">
        <v>0</v>
      </c>
      <c r="D229" s="4"/>
    </row>
    <row r="230" spans="1:4" x14ac:dyDescent="0.3">
      <c r="A230" s="2"/>
      <c r="B230" s="4">
        <v>10</v>
      </c>
      <c r="C230" s="4">
        <v>0</v>
      </c>
      <c r="D230" s="4"/>
    </row>
    <row r="231" spans="1:4" x14ac:dyDescent="0.3">
      <c r="A231" s="2"/>
      <c r="B231" s="4">
        <v>10</v>
      </c>
      <c r="C231" s="4">
        <v>3</v>
      </c>
      <c r="D231" s="4"/>
    </row>
    <row r="232" spans="1:4" x14ac:dyDescent="0.3">
      <c r="A232" s="2"/>
      <c r="B232" s="4">
        <v>10</v>
      </c>
      <c r="C232" s="4">
        <v>0</v>
      </c>
      <c r="D232" s="4"/>
    </row>
    <row r="233" spans="1:4" x14ac:dyDescent="0.3">
      <c r="A233" s="2"/>
      <c r="B233" s="4">
        <v>10</v>
      </c>
      <c r="C233" s="4">
        <v>0</v>
      </c>
      <c r="D233" s="4"/>
    </row>
    <row r="234" spans="1:4" x14ac:dyDescent="0.3">
      <c r="A234" s="2"/>
      <c r="B234" s="4">
        <v>9</v>
      </c>
      <c r="C234" s="4">
        <v>2</v>
      </c>
      <c r="D234" s="4"/>
    </row>
    <row r="235" spans="1:4" x14ac:dyDescent="0.3">
      <c r="A235" s="2"/>
      <c r="B235" s="4">
        <v>9</v>
      </c>
      <c r="C235" s="4">
        <v>0</v>
      </c>
      <c r="D235" s="4"/>
    </row>
    <row r="236" spans="1:4" x14ac:dyDescent="0.3">
      <c r="A236" s="2"/>
      <c r="B236" s="4">
        <v>9</v>
      </c>
      <c r="C236" s="4">
        <v>1</v>
      </c>
      <c r="D236" s="4"/>
    </row>
    <row r="237" spans="1:4" x14ac:dyDescent="0.3">
      <c r="A237" s="2"/>
      <c r="B237" s="4">
        <v>9</v>
      </c>
      <c r="C237" s="4">
        <v>0</v>
      </c>
      <c r="D237" s="4"/>
    </row>
    <row r="238" spans="1:4" x14ac:dyDescent="0.3">
      <c r="A238" s="2"/>
      <c r="B238" s="4">
        <v>9</v>
      </c>
      <c r="C238" s="4">
        <v>0</v>
      </c>
      <c r="D238" s="4"/>
    </row>
    <row r="239" spans="1:4" x14ac:dyDescent="0.3">
      <c r="A239" s="2"/>
      <c r="B239" s="4">
        <v>9</v>
      </c>
      <c r="C239" s="4">
        <v>5</v>
      </c>
      <c r="D239" s="4"/>
    </row>
    <row r="240" spans="1:4" x14ac:dyDescent="0.3">
      <c r="A240" s="2"/>
      <c r="B240" s="4">
        <v>8</v>
      </c>
      <c r="C240" s="4">
        <v>0</v>
      </c>
      <c r="D240" s="4"/>
    </row>
    <row r="241" spans="1:4" x14ac:dyDescent="0.3">
      <c r="A241" s="2"/>
      <c r="B241" s="4">
        <v>8</v>
      </c>
      <c r="C241" s="4">
        <v>0</v>
      </c>
      <c r="D241" s="4"/>
    </row>
    <row r="242" spans="1:4" x14ac:dyDescent="0.3">
      <c r="A242" s="2"/>
      <c r="B242" s="4">
        <v>8</v>
      </c>
      <c r="C242" s="4">
        <v>0</v>
      </c>
      <c r="D242" s="4"/>
    </row>
    <row r="243" spans="1:4" x14ac:dyDescent="0.3">
      <c r="A243" s="2"/>
      <c r="B243" s="4">
        <v>8</v>
      </c>
      <c r="C243" s="4">
        <v>0</v>
      </c>
      <c r="D243" s="4"/>
    </row>
    <row r="244" spans="1:4" x14ac:dyDescent="0.3">
      <c r="A244" s="2"/>
      <c r="B244" s="4">
        <v>8</v>
      </c>
      <c r="C244" s="4">
        <v>1</v>
      </c>
      <c r="D244" s="4"/>
    </row>
    <row r="245" spans="1:4" x14ac:dyDescent="0.3">
      <c r="A245" s="2"/>
      <c r="B245" s="4">
        <v>8</v>
      </c>
      <c r="C245" s="4">
        <v>0</v>
      </c>
      <c r="D245" s="4"/>
    </row>
    <row r="246" spans="1:4" x14ac:dyDescent="0.3">
      <c r="A246" s="2"/>
      <c r="B246" s="4">
        <v>8</v>
      </c>
      <c r="C246" s="4">
        <v>0</v>
      </c>
      <c r="D246" s="4"/>
    </row>
    <row r="247" spans="1:4" x14ac:dyDescent="0.3">
      <c r="A247" s="2"/>
      <c r="B247" s="4">
        <v>8</v>
      </c>
      <c r="C247" s="4">
        <v>2</v>
      </c>
      <c r="D247" s="4"/>
    </row>
    <row r="248" spans="1:4" x14ac:dyDescent="0.3">
      <c r="A248" s="2"/>
      <c r="B248" s="4">
        <v>8</v>
      </c>
      <c r="C248" s="4">
        <v>0</v>
      </c>
      <c r="D248" s="4"/>
    </row>
    <row r="249" spans="1:4" x14ac:dyDescent="0.3">
      <c r="A249" s="2"/>
      <c r="B249" s="4">
        <v>8</v>
      </c>
      <c r="C249" s="4">
        <v>0</v>
      </c>
      <c r="D249" s="4"/>
    </row>
    <row r="250" spans="1:4" x14ac:dyDescent="0.3">
      <c r="A250" s="2"/>
      <c r="B250" s="4">
        <v>8</v>
      </c>
      <c r="C250" s="4">
        <v>0</v>
      </c>
      <c r="D250" s="4"/>
    </row>
    <row r="251" spans="1:4" x14ac:dyDescent="0.3">
      <c r="A251" s="2"/>
      <c r="B251" s="4">
        <v>8</v>
      </c>
      <c r="C251" s="4">
        <v>0</v>
      </c>
      <c r="D251" s="4"/>
    </row>
    <row r="252" spans="1:4" x14ac:dyDescent="0.3">
      <c r="A252" s="2"/>
      <c r="B252" s="4">
        <v>8</v>
      </c>
      <c r="C252" s="4">
        <v>0</v>
      </c>
      <c r="D252" s="4"/>
    </row>
    <row r="253" spans="1:4" x14ac:dyDescent="0.3">
      <c r="A253" s="2"/>
      <c r="B253" s="4">
        <v>7</v>
      </c>
      <c r="C253" s="4">
        <v>0</v>
      </c>
      <c r="D253" s="4"/>
    </row>
    <row r="254" spans="1:4" x14ac:dyDescent="0.3">
      <c r="A254" s="2"/>
      <c r="B254" s="4">
        <v>7</v>
      </c>
      <c r="C254" s="4">
        <v>0</v>
      </c>
      <c r="D254" s="4"/>
    </row>
    <row r="255" spans="1:4" x14ac:dyDescent="0.3">
      <c r="A255" s="2"/>
      <c r="B255" s="4">
        <v>7</v>
      </c>
      <c r="C255" s="4">
        <v>0</v>
      </c>
      <c r="D255" s="4"/>
    </row>
    <row r="256" spans="1:4" x14ac:dyDescent="0.3">
      <c r="A256" s="2"/>
      <c r="B256" s="4">
        <v>7</v>
      </c>
      <c r="C256" s="4">
        <v>0</v>
      </c>
      <c r="D256" s="4"/>
    </row>
    <row r="257" spans="1:4" x14ac:dyDescent="0.3">
      <c r="A257" s="2"/>
      <c r="B257" s="4">
        <v>7</v>
      </c>
      <c r="C257" s="4">
        <v>0</v>
      </c>
      <c r="D257" s="4"/>
    </row>
    <row r="258" spans="1:4" x14ac:dyDescent="0.3">
      <c r="A258" s="2"/>
      <c r="B258" s="4">
        <v>7</v>
      </c>
      <c r="C258" s="4">
        <v>0</v>
      </c>
      <c r="D258" s="4"/>
    </row>
    <row r="259" spans="1:4" x14ac:dyDescent="0.3">
      <c r="A259" s="2"/>
      <c r="B259" s="4">
        <v>7</v>
      </c>
      <c r="C259" s="4">
        <v>0</v>
      </c>
      <c r="D259" s="4"/>
    </row>
    <row r="260" spans="1:4" x14ac:dyDescent="0.3">
      <c r="A260" s="2"/>
      <c r="B260" s="4">
        <v>7</v>
      </c>
      <c r="C260" s="4">
        <v>0</v>
      </c>
      <c r="D260" s="4"/>
    </row>
    <row r="261" spans="1:4" x14ac:dyDescent="0.3">
      <c r="A261" s="2"/>
      <c r="B261" s="4">
        <v>7</v>
      </c>
      <c r="C261" s="4">
        <v>0</v>
      </c>
      <c r="D261" s="4"/>
    </row>
    <row r="262" spans="1:4" x14ac:dyDescent="0.3">
      <c r="A262" s="2"/>
      <c r="B262" s="4">
        <v>7</v>
      </c>
      <c r="C262" s="4">
        <v>0</v>
      </c>
      <c r="D262" s="4"/>
    </row>
    <row r="263" spans="1:4" x14ac:dyDescent="0.3">
      <c r="A263" s="2"/>
      <c r="B263" s="4">
        <v>7</v>
      </c>
      <c r="C263" s="4">
        <v>0</v>
      </c>
      <c r="D263" s="4"/>
    </row>
    <row r="264" spans="1:4" x14ac:dyDescent="0.3">
      <c r="A264" s="2"/>
      <c r="B264" s="4">
        <v>7</v>
      </c>
      <c r="C264" s="4">
        <v>0</v>
      </c>
      <c r="D264" s="4"/>
    </row>
    <row r="265" spans="1:4" x14ac:dyDescent="0.3">
      <c r="A265" s="2"/>
      <c r="B265" s="4">
        <v>6</v>
      </c>
      <c r="C265" s="4">
        <v>2</v>
      </c>
      <c r="D265" s="4"/>
    </row>
    <row r="266" spans="1:4" x14ac:dyDescent="0.3">
      <c r="A266" s="2"/>
      <c r="B266" s="4">
        <v>6</v>
      </c>
      <c r="C266" s="4">
        <v>0</v>
      </c>
      <c r="D266" s="4"/>
    </row>
    <row r="267" spans="1:4" x14ac:dyDescent="0.3">
      <c r="A267" s="2"/>
      <c r="B267" s="4">
        <v>6</v>
      </c>
      <c r="C267" s="4">
        <v>0</v>
      </c>
      <c r="D267" s="4"/>
    </row>
    <row r="268" spans="1:4" x14ac:dyDescent="0.3">
      <c r="A268" s="2"/>
      <c r="B268" s="4">
        <v>6</v>
      </c>
      <c r="C268" s="4">
        <v>0</v>
      </c>
      <c r="D268" s="4"/>
    </row>
    <row r="269" spans="1:4" x14ac:dyDescent="0.3">
      <c r="A269" s="2"/>
      <c r="B269" s="4">
        <v>6</v>
      </c>
      <c r="C269" s="4">
        <v>0</v>
      </c>
      <c r="D269" s="4"/>
    </row>
    <row r="270" spans="1:4" x14ac:dyDescent="0.3">
      <c r="A270" s="2"/>
      <c r="B270" s="4">
        <v>6</v>
      </c>
      <c r="C270" s="4">
        <v>0</v>
      </c>
      <c r="D270" s="4"/>
    </row>
    <row r="271" spans="1:4" x14ac:dyDescent="0.3">
      <c r="A271" s="2"/>
      <c r="B271" s="4">
        <v>6</v>
      </c>
      <c r="C271" s="4">
        <v>0</v>
      </c>
      <c r="D271" s="4"/>
    </row>
    <row r="272" spans="1:4" x14ac:dyDescent="0.3">
      <c r="A272" s="2"/>
      <c r="B272" s="4">
        <v>6</v>
      </c>
      <c r="C272" s="4">
        <v>0</v>
      </c>
      <c r="D272" s="4"/>
    </row>
    <row r="273" spans="1:4" x14ac:dyDescent="0.3">
      <c r="A273" s="2"/>
      <c r="B273" s="4">
        <v>6</v>
      </c>
      <c r="C273" s="4">
        <v>0</v>
      </c>
      <c r="D273" s="4"/>
    </row>
    <row r="274" spans="1:4" x14ac:dyDescent="0.3">
      <c r="A274" s="2"/>
      <c r="B274" s="4">
        <v>6</v>
      </c>
      <c r="C274" s="4">
        <v>0</v>
      </c>
      <c r="D274" s="4"/>
    </row>
    <row r="275" spans="1:4" x14ac:dyDescent="0.3">
      <c r="A275" s="2"/>
      <c r="B275" s="4">
        <v>5</v>
      </c>
      <c r="C275" s="4">
        <v>0</v>
      </c>
      <c r="D275" s="4"/>
    </row>
    <row r="276" spans="1:4" x14ac:dyDescent="0.3">
      <c r="A276" s="2"/>
      <c r="B276" s="4">
        <v>5</v>
      </c>
      <c r="C276" s="4">
        <v>0</v>
      </c>
      <c r="D276" s="4"/>
    </row>
    <row r="277" spans="1:4" x14ac:dyDescent="0.3">
      <c r="A277" s="2"/>
      <c r="B277" s="4">
        <v>5</v>
      </c>
      <c r="C277" s="4">
        <v>0</v>
      </c>
      <c r="D277" s="4"/>
    </row>
    <row r="278" spans="1:4" x14ac:dyDescent="0.3">
      <c r="A278" s="2"/>
      <c r="B278" s="4">
        <v>5</v>
      </c>
      <c r="C278" s="4">
        <v>0</v>
      </c>
      <c r="D278" s="4"/>
    </row>
    <row r="279" spans="1:4" x14ac:dyDescent="0.3">
      <c r="A279" s="2"/>
      <c r="B279" s="4">
        <v>5</v>
      </c>
      <c r="C279" s="4">
        <v>0</v>
      </c>
      <c r="D279" s="4"/>
    </row>
    <row r="280" spans="1:4" x14ac:dyDescent="0.3">
      <c r="A280" s="2"/>
      <c r="B280" s="4">
        <v>5</v>
      </c>
      <c r="C280" s="4">
        <v>0</v>
      </c>
      <c r="D280" s="4"/>
    </row>
    <row r="281" spans="1:4" x14ac:dyDescent="0.3">
      <c r="A281" s="2"/>
      <c r="B281" s="4">
        <v>5</v>
      </c>
      <c r="C281" s="4">
        <v>0</v>
      </c>
      <c r="D281" s="4"/>
    </row>
    <row r="282" spans="1:4" x14ac:dyDescent="0.3">
      <c r="A282" s="2"/>
      <c r="B282" s="4">
        <v>5</v>
      </c>
      <c r="C282" s="4">
        <v>0</v>
      </c>
      <c r="D282" s="4"/>
    </row>
    <row r="283" spans="1:4" x14ac:dyDescent="0.3">
      <c r="A283" s="2"/>
      <c r="B283" s="4">
        <v>5</v>
      </c>
      <c r="C283" s="4">
        <v>0</v>
      </c>
      <c r="D283" s="4"/>
    </row>
    <row r="284" spans="1:4" x14ac:dyDescent="0.3">
      <c r="A284" s="2"/>
      <c r="B284" s="4">
        <v>5</v>
      </c>
      <c r="C284" s="4">
        <v>0</v>
      </c>
      <c r="D284" s="4"/>
    </row>
    <row r="285" spans="1:4" x14ac:dyDescent="0.3">
      <c r="A285" s="2"/>
      <c r="B285" s="4">
        <v>5</v>
      </c>
      <c r="C285" s="4">
        <v>0</v>
      </c>
      <c r="D285" s="4"/>
    </row>
    <row r="286" spans="1:4" x14ac:dyDescent="0.3">
      <c r="A286" s="2"/>
      <c r="B286" s="4">
        <v>5</v>
      </c>
      <c r="C286" s="4">
        <v>0</v>
      </c>
      <c r="D286" s="4"/>
    </row>
    <row r="287" spans="1:4" x14ac:dyDescent="0.3">
      <c r="A287" s="2"/>
      <c r="B287" s="4">
        <v>5</v>
      </c>
      <c r="C287" s="4">
        <v>0</v>
      </c>
      <c r="D287" s="4"/>
    </row>
    <row r="288" spans="1:4" x14ac:dyDescent="0.3">
      <c r="A288" s="2"/>
      <c r="B288" s="4">
        <v>5</v>
      </c>
      <c r="C288" s="4">
        <v>0</v>
      </c>
      <c r="D288" s="4"/>
    </row>
    <row r="289" spans="1:4" x14ac:dyDescent="0.3">
      <c r="A289" s="2"/>
      <c r="B289" s="4">
        <v>4</v>
      </c>
      <c r="C289" s="4">
        <v>0</v>
      </c>
      <c r="D289" s="4"/>
    </row>
    <row r="290" spans="1:4" x14ac:dyDescent="0.3">
      <c r="A290" s="2"/>
      <c r="B290" s="4">
        <v>4</v>
      </c>
      <c r="C290" s="4">
        <v>0</v>
      </c>
      <c r="D290" s="4"/>
    </row>
    <row r="291" spans="1:4" x14ac:dyDescent="0.3">
      <c r="A291" s="2"/>
      <c r="B291" s="4">
        <v>4</v>
      </c>
      <c r="C291" s="4">
        <v>0</v>
      </c>
      <c r="D291" s="4"/>
    </row>
    <row r="292" spans="1:4" x14ac:dyDescent="0.3">
      <c r="A292" s="2"/>
      <c r="B292" s="4">
        <v>4</v>
      </c>
      <c r="C292" s="4">
        <v>0</v>
      </c>
      <c r="D292" s="4"/>
    </row>
    <row r="293" spans="1:4" x14ac:dyDescent="0.3">
      <c r="A293" s="2"/>
      <c r="B293" s="4">
        <v>4</v>
      </c>
      <c r="C293" s="4">
        <v>0</v>
      </c>
      <c r="D293" s="4"/>
    </row>
    <row r="294" spans="1:4" x14ac:dyDescent="0.3">
      <c r="A294" s="2"/>
      <c r="B294" s="4">
        <v>4</v>
      </c>
      <c r="C294" s="4">
        <v>0</v>
      </c>
      <c r="D294" s="4"/>
    </row>
    <row r="295" spans="1:4" x14ac:dyDescent="0.3">
      <c r="A295" s="2"/>
      <c r="B295" s="4">
        <v>4</v>
      </c>
      <c r="C295" s="4">
        <v>0</v>
      </c>
      <c r="D295" s="4"/>
    </row>
    <row r="296" spans="1:4" x14ac:dyDescent="0.3">
      <c r="A296" s="2"/>
      <c r="B296" s="4">
        <v>4</v>
      </c>
      <c r="C296" s="4">
        <v>0</v>
      </c>
      <c r="D296" s="4"/>
    </row>
    <row r="297" spans="1:4" x14ac:dyDescent="0.3">
      <c r="A297" s="2"/>
      <c r="B297" s="4">
        <v>4</v>
      </c>
      <c r="C297" s="4">
        <v>1</v>
      </c>
      <c r="D297" s="4"/>
    </row>
    <row r="298" spans="1:4" x14ac:dyDescent="0.3">
      <c r="A298" s="2"/>
      <c r="B298" s="4">
        <v>4</v>
      </c>
      <c r="C298" s="4">
        <v>0</v>
      </c>
      <c r="D298" s="4"/>
    </row>
    <row r="299" spans="1:4" x14ac:dyDescent="0.3">
      <c r="A299" s="2"/>
      <c r="B299" s="4">
        <v>4</v>
      </c>
      <c r="C299" s="4">
        <v>0</v>
      </c>
      <c r="D299" s="4"/>
    </row>
    <row r="300" spans="1:4" x14ac:dyDescent="0.3">
      <c r="A300" s="2"/>
      <c r="B300" s="4">
        <v>4</v>
      </c>
      <c r="C300" s="4">
        <v>0</v>
      </c>
      <c r="D300" s="4"/>
    </row>
    <row r="301" spans="1:4" x14ac:dyDescent="0.3">
      <c r="A301" s="2"/>
      <c r="B301" s="4">
        <v>4</v>
      </c>
      <c r="C301" s="4">
        <v>0</v>
      </c>
      <c r="D301" s="4"/>
    </row>
    <row r="302" spans="1:4" x14ac:dyDescent="0.3">
      <c r="A302" s="2"/>
      <c r="B302" s="4">
        <v>4</v>
      </c>
      <c r="C302" s="4">
        <v>0</v>
      </c>
      <c r="D302" s="4"/>
    </row>
    <row r="303" spans="1:4" x14ac:dyDescent="0.3">
      <c r="A303" s="2"/>
      <c r="B303" s="4">
        <v>4</v>
      </c>
      <c r="C303" s="4">
        <v>0</v>
      </c>
      <c r="D303" s="4"/>
    </row>
    <row r="304" spans="1:4" x14ac:dyDescent="0.3">
      <c r="A304" s="2"/>
      <c r="B304" s="4">
        <v>3</v>
      </c>
      <c r="C304" s="4">
        <v>0</v>
      </c>
      <c r="D304" s="4"/>
    </row>
    <row r="305" spans="1:4" x14ac:dyDescent="0.3">
      <c r="A305" s="2"/>
      <c r="B305" s="4">
        <v>3</v>
      </c>
      <c r="C305" s="4">
        <v>0</v>
      </c>
      <c r="D305" s="4"/>
    </row>
    <row r="306" spans="1:4" x14ac:dyDescent="0.3">
      <c r="A306" s="2"/>
      <c r="B306" s="4">
        <v>3</v>
      </c>
      <c r="C306" s="4">
        <v>0</v>
      </c>
      <c r="D306" s="4"/>
    </row>
    <row r="307" spans="1:4" x14ac:dyDescent="0.3">
      <c r="A307" s="2"/>
      <c r="B307" s="4">
        <v>3</v>
      </c>
      <c r="C307" s="4">
        <v>0</v>
      </c>
      <c r="D307" s="4"/>
    </row>
    <row r="308" spans="1:4" x14ac:dyDescent="0.3">
      <c r="A308" s="2"/>
      <c r="B308" s="4">
        <v>3</v>
      </c>
      <c r="C308" s="4">
        <v>0</v>
      </c>
      <c r="D308" s="4"/>
    </row>
    <row r="309" spans="1:4" x14ac:dyDescent="0.3">
      <c r="A309" s="2"/>
      <c r="B309" s="4">
        <v>3</v>
      </c>
      <c r="C309" s="4">
        <v>0</v>
      </c>
      <c r="D309" s="4"/>
    </row>
    <row r="310" spans="1:4" x14ac:dyDescent="0.3">
      <c r="A310" s="2"/>
      <c r="B310" s="4">
        <v>3</v>
      </c>
      <c r="C310" s="4">
        <v>2</v>
      </c>
      <c r="D310" s="4"/>
    </row>
    <row r="311" spans="1:4" x14ac:dyDescent="0.3">
      <c r="A311" s="2"/>
      <c r="B311" s="4">
        <v>3</v>
      </c>
      <c r="C311" s="4">
        <v>0</v>
      </c>
      <c r="D311" s="4"/>
    </row>
    <row r="312" spans="1:4" x14ac:dyDescent="0.3">
      <c r="A312" s="2"/>
      <c r="B312" s="4">
        <v>3</v>
      </c>
      <c r="C312" s="4">
        <v>0</v>
      </c>
      <c r="D312" s="4"/>
    </row>
    <row r="313" spans="1:4" x14ac:dyDescent="0.3">
      <c r="A313" s="2"/>
      <c r="B313" s="4">
        <v>3</v>
      </c>
      <c r="C313" s="4">
        <v>0</v>
      </c>
      <c r="D313" s="4"/>
    </row>
    <row r="314" spans="1:4" x14ac:dyDescent="0.3">
      <c r="A314" s="2"/>
      <c r="B314" s="4">
        <v>3</v>
      </c>
      <c r="C314" s="4">
        <v>0</v>
      </c>
      <c r="D314" s="4"/>
    </row>
    <row r="315" spans="1:4" x14ac:dyDescent="0.3">
      <c r="A315" s="2"/>
      <c r="B315" s="4">
        <v>3</v>
      </c>
      <c r="C315" s="4">
        <v>0</v>
      </c>
      <c r="D315" s="4"/>
    </row>
    <row r="316" spans="1:4" x14ac:dyDescent="0.3">
      <c r="A316" s="2"/>
      <c r="B316" s="4">
        <v>3</v>
      </c>
      <c r="C316" s="4">
        <v>0</v>
      </c>
      <c r="D316" s="4"/>
    </row>
    <row r="317" spans="1:4" x14ac:dyDescent="0.3">
      <c r="A317" s="2"/>
      <c r="B317" s="4">
        <v>3</v>
      </c>
      <c r="C317" s="4">
        <v>0</v>
      </c>
      <c r="D317" s="4"/>
    </row>
    <row r="318" spans="1:4" x14ac:dyDescent="0.3">
      <c r="A318" s="2"/>
      <c r="B318" s="4">
        <v>3</v>
      </c>
      <c r="C318" s="4">
        <v>0</v>
      </c>
      <c r="D318" s="4"/>
    </row>
    <row r="319" spans="1:4" x14ac:dyDescent="0.3">
      <c r="A319" s="2"/>
      <c r="B319" s="4">
        <v>3</v>
      </c>
      <c r="C319" s="4">
        <v>0</v>
      </c>
      <c r="D319" s="4"/>
    </row>
    <row r="320" spans="1:4" x14ac:dyDescent="0.3">
      <c r="A320" s="2"/>
      <c r="B320" s="4">
        <v>3</v>
      </c>
      <c r="C320" s="4">
        <v>0</v>
      </c>
      <c r="D320" s="4"/>
    </row>
    <row r="321" spans="1:4" x14ac:dyDescent="0.3">
      <c r="A321" s="2"/>
      <c r="B321" s="4">
        <v>3</v>
      </c>
      <c r="C321" s="4">
        <v>0</v>
      </c>
      <c r="D321" s="4"/>
    </row>
    <row r="322" spans="1:4" x14ac:dyDescent="0.3">
      <c r="A322" s="2"/>
      <c r="B322" s="4">
        <v>3</v>
      </c>
      <c r="C322" s="4">
        <v>0</v>
      </c>
      <c r="D322" s="4"/>
    </row>
    <row r="323" spans="1:4" x14ac:dyDescent="0.3">
      <c r="A323" s="2"/>
      <c r="B323" s="4">
        <v>3</v>
      </c>
      <c r="C323" s="4">
        <v>0</v>
      </c>
      <c r="D323" s="4"/>
    </row>
    <row r="324" spans="1:4" x14ac:dyDescent="0.3">
      <c r="A324" s="2"/>
      <c r="B324" s="4">
        <v>3</v>
      </c>
      <c r="C324" s="4">
        <v>0</v>
      </c>
      <c r="D324" s="4"/>
    </row>
    <row r="325" spans="1:4" x14ac:dyDescent="0.3">
      <c r="A325" s="2"/>
      <c r="B325" s="4">
        <v>3</v>
      </c>
      <c r="C325" s="4">
        <v>0</v>
      </c>
      <c r="D325" s="4"/>
    </row>
    <row r="326" spans="1:4" x14ac:dyDescent="0.3">
      <c r="A326" s="2"/>
      <c r="B326" s="4">
        <v>2</v>
      </c>
      <c r="C326" s="4">
        <v>0</v>
      </c>
      <c r="D326" s="4"/>
    </row>
    <row r="327" spans="1:4" x14ac:dyDescent="0.3">
      <c r="A327" s="2"/>
      <c r="B327" s="4">
        <v>2</v>
      </c>
      <c r="C327" s="4">
        <v>0</v>
      </c>
      <c r="D327" s="4"/>
    </row>
    <row r="328" spans="1:4" x14ac:dyDescent="0.3">
      <c r="A328" s="2"/>
      <c r="B328" s="4">
        <v>2</v>
      </c>
      <c r="C328" s="4">
        <v>0</v>
      </c>
      <c r="D328" s="4"/>
    </row>
    <row r="329" spans="1:4" x14ac:dyDescent="0.3">
      <c r="A329" s="2"/>
      <c r="B329" s="4">
        <v>2</v>
      </c>
      <c r="C329" s="4">
        <v>0</v>
      </c>
      <c r="D329" s="4"/>
    </row>
    <row r="330" spans="1:4" x14ac:dyDescent="0.3">
      <c r="A330" s="2"/>
      <c r="B330" s="4">
        <v>2</v>
      </c>
      <c r="C330" s="4">
        <v>0</v>
      </c>
      <c r="D330" s="4"/>
    </row>
    <row r="331" spans="1:4" x14ac:dyDescent="0.3">
      <c r="A331" s="2"/>
      <c r="B331" s="4">
        <v>2</v>
      </c>
      <c r="C331" s="4">
        <v>0</v>
      </c>
      <c r="D331" s="4"/>
    </row>
    <row r="332" spans="1:4" x14ac:dyDescent="0.3">
      <c r="A332" s="2"/>
      <c r="B332" s="4">
        <v>2</v>
      </c>
      <c r="C332" s="4">
        <v>0</v>
      </c>
      <c r="D332" s="4"/>
    </row>
    <row r="333" spans="1:4" x14ac:dyDescent="0.3">
      <c r="A333" s="2"/>
      <c r="B333" s="4">
        <v>2</v>
      </c>
      <c r="C333" s="4">
        <v>0</v>
      </c>
      <c r="D333" s="4"/>
    </row>
    <row r="334" spans="1:4" x14ac:dyDescent="0.3">
      <c r="A334" s="2"/>
      <c r="B334" s="4">
        <v>2</v>
      </c>
      <c r="C334" s="4">
        <v>0</v>
      </c>
      <c r="D334" s="4"/>
    </row>
    <row r="335" spans="1:4" x14ac:dyDescent="0.3">
      <c r="A335" s="2"/>
      <c r="B335" s="4">
        <v>2</v>
      </c>
      <c r="C335" s="4">
        <v>0</v>
      </c>
      <c r="D335" s="4"/>
    </row>
    <row r="336" spans="1:4" x14ac:dyDescent="0.3">
      <c r="A336" s="2"/>
      <c r="B336" s="4">
        <v>2</v>
      </c>
      <c r="C336" s="4">
        <v>0</v>
      </c>
      <c r="D336" s="4"/>
    </row>
    <row r="337" spans="1:4" x14ac:dyDescent="0.3">
      <c r="A337" s="2"/>
      <c r="B337" s="4">
        <v>2</v>
      </c>
      <c r="C337" s="4">
        <v>0</v>
      </c>
      <c r="D337" s="4"/>
    </row>
    <row r="338" spans="1:4" x14ac:dyDescent="0.3">
      <c r="A338" s="2"/>
      <c r="B338" s="4">
        <v>2</v>
      </c>
      <c r="C338" s="4">
        <v>0</v>
      </c>
      <c r="D338" s="4"/>
    </row>
    <row r="339" spans="1:4" x14ac:dyDescent="0.3">
      <c r="A339" s="2"/>
      <c r="B339" s="4">
        <v>2</v>
      </c>
      <c r="C339" s="4">
        <v>0</v>
      </c>
      <c r="D339" s="4"/>
    </row>
    <row r="340" spans="1:4" x14ac:dyDescent="0.3">
      <c r="A340" s="2"/>
      <c r="B340" s="4">
        <v>2</v>
      </c>
      <c r="C340" s="4">
        <v>0</v>
      </c>
      <c r="D340" s="4"/>
    </row>
    <row r="341" spans="1:4" x14ac:dyDescent="0.3">
      <c r="A341" s="2"/>
      <c r="B341" s="4">
        <v>2</v>
      </c>
      <c r="C341" s="4">
        <v>0</v>
      </c>
      <c r="D341" s="4"/>
    </row>
    <row r="342" spans="1:4" x14ac:dyDescent="0.3">
      <c r="A342" s="2"/>
      <c r="B342" s="4">
        <v>2</v>
      </c>
      <c r="C342" s="4">
        <v>0</v>
      </c>
      <c r="D342" s="4"/>
    </row>
    <row r="343" spans="1:4" x14ac:dyDescent="0.3">
      <c r="A343" s="2"/>
      <c r="B343" s="4">
        <v>2</v>
      </c>
      <c r="C343" s="4">
        <v>0</v>
      </c>
      <c r="D343" s="4"/>
    </row>
    <row r="344" spans="1:4" x14ac:dyDescent="0.3">
      <c r="A344" s="2"/>
      <c r="B344" s="4">
        <v>2</v>
      </c>
      <c r="C344" s="4">
        <v>0</v>
      </c>
      <c r="D344" s="4"/>
    </row>
    <row r="345" spans="1:4" x14ac:dyDescent="0.3">
      <c r="A345" s="2"/>
      <c r="B345" s="4">
        <v>2</v>
      </c>
      <c r="C345" s="4">
        <v>0</v>
      </c>
      <c r="D345" s="4"/>
    </row>
    <row r="346" spans="1:4" x14ac:dyDescent="0.3">
      <c r="A346" s="2"/>
      <c r="B346" s="4">
        <v>2</v>
      </c>
      <c r="C346" s="4">
        <v>0</v>
      </c>
      <c r="D346" s="4"/>
    </row>
    <row r="347" spans="1:4" x14ac:dyDescent="0.3">
      <c r="A347" s="2"/>
      <c r="B347" s="4">
        <v>2</v>
      </c>
      <c r="C347" s="4">
        <v>0</v>
      </c>
      <c r="D347" s="4"/>
    </row>
    <row r="348" spans="1:4" x14ac:dyDescent="0.3">
      <c r="A348" s="2"/>
      <c r="B348" s="4">
        <v>2</v>
      </c>
      <c r="C348" s="4">
        <v>0</v>
      </c>
      <c r="D348" s="4"/>
    </row>
    <row r="349" spans="1:4" x14ac:dyDescent="0.3">
      <c r="A349" s="2"/>
      <c r="B349" s="4">
        <v>2</v>
      </c>
      <c r="C349" s="4">
        <v>0</v>
      </c>
      <c r="D349" s="4"/>
    </row>
    <row r="350" spans="1:4" x14ac:dyDescent="0.3">
      <c r="A350" s="2"/>
      <c r="B350" s="4">
        <v>2</v>
      </c>
      <c r="C350" s="4">
        <v>0</v>
      </c>
      <c r="D350" s="4"/>
    </row>
    <row r="351" spans="1:4" x14ac:dyDescent="0.3">
      <c r="A351" s="2"/>
      <c r="B351" s="4">
        <v>2</v>
      </c>
      <c r="C351" s="4">
        <v>0</v>
      </c>
      <c r="D351" s="4"/>
    </row>
    <row r="352" spans="1:4" x14ac:dyDescent="0.3">
      <c r="A352" s="2"/>
      <c r="B352" s="4">
        <v>2</v>
      </c>
      <c r="C352" s="4">
        <v>0</v>
      </c>
      <c r="D352" s="4"/>
    </row>
    <row r="353" spans="1:4" x14ac:dyDescent="0.3">
      <c r="A353" s="2"/>
      <c r="B353" s="4">
        <v>2</v>
      </c>
      <c r="C353" s="4">
        <v>0</v>
      </c>
      <c r="D353" s="4"/>
    </row>
    <row r="354" spans="1:4" x14ac:dyDescent="0.3">
      <c r="A354" s="2"/>
      <c r="B354" s="4">
        <v>2</v>
      </c>
      <c r="C354" s="4">
        <v>0</v>
      </c>
      <c r="D354" s="4"/>
    </row>
    <row r="355" spans="1:4" x14ac:dyDescent="0.3">
      <c r="A355" s="2"/>
      <c r="B355" s="4">
        <v>2</v>
      </c>
      <c r="C355" s="4">
        <v>0</v>
      </c>
      <c r="D355" s="4"/>
    </row>
    <row r="356" spans="1:4" x14ac:dyDescent="0.3">
      <c r="A356" s="2"/>
      <c r="B356" s="4">
        <v>2</v>
      </c>
      <c r="C356" s="4">
        <v>0</v>
      </c>
      <c r="D356" s="4"/>
    </row>
    <row r="357" spans="1:4" x14ac:dyDescent="0.3">
      <c r="A357" s="2"/>
      <c r="B357" s="4">
        <v>2</v>
      </c>
      <c r="C357" s="4">
        <v>0</v>
      </c>
      <c r="D357" s="4"/>
    </row>
    <row r="358" spans="1:4" x14ac:dyDescent="0.3">
      <c r="A358" s="2"/>
      <c r="B358" s="4">
        <v>2</v>
      </c>
      <c r="C358" s="4">
        <v>0</v>
      </c>
      <c r="D358" s="4"/>
    </row>
    <row r="359" spans="1:4" x14ac:dyDescent="0.3">
      <c r="A359" s="2"/>
      <c r="B359" s="4">
        <v>1</v>
      </c>
      <c r="C359" s="4">
        <v>0</v>
      </c>
      <c r="D359" s="4"/>
    </row>
    <row r="360" spans="1:4" x14ac:dyDescent="0.3">
      <c r="A360" s="2"/>
      <c r="B360" s="4">
        <v>1</v>
      </c>
      <c r="C360" s="4">
        <v>0</v>
      </c>
      <c r="D360" s="4"/>
    </row>
    <row r="361" spans="1:4" x14ac:dyDescent="0.3">
      <c r="A361" s="2"/>
      <c r="B361" s="4">
        <v>1</v>
      </c>
      <c r="C361" s="4">
        <v>0</v>
      </c>
      <c r="D361" s="4"/>
    </row>
    <row r="362" spans="1:4" x14ac:dyDescent="0.3">
      <c r="A362" s="2"/>
      <c r="B362" s="4">
        <v>1</v>
      </c>
      <c r="C362" s="4">
        <v>0</v>
      </c>
      <c r="D362" s="4"/>
    </row>
    <row r="363" spans="1:4" x14ac:dyDescent="0.3">
      <c r="A363" s="2"/>
      <c r="B363" s="4">
        <v>1</v>
      </c>
      <c r="C363" s="4">
        <v>0</v>
      </c>
      <c r="D363" s="4"/>
    </row>
    <row r="364" spans="1:4" x14ac:dyDescent="0.3">
      <c r="A364" s="2"/>
      <c r="B364" s="4">
        <v>1</v>
      </c>
      <c r="C364" s="4">
        <v>0</v>
      </c>
      <c r="D364" s="4"/>
    </row>
    <row r="365" spans="1:4" x14ac:dyDescent="0.3">
      <c r="A365" s="2"/>
      <c r="B365" s="4">
        <v>1</v>
      </c>
      <c r="C365" s="4">
        <v>0</v>
      </c>
      <c r="D365" s="4"/>
    </row>
    <row r="366" spans="1:4" x14ac:dyDescent="0.3">
      <c r="A366" s="2"/>
      <c r="B366" s="4">
        <v>1</v>
      </c>
      <c r="C366" s="4">
        <v>0</v>
      </c>
      <c r="D366" s="4"/>
    </row>
    <row r="367" spans="1:4" x14ac:dyDescent="0.3">
      <c r="A367" s="2"/>
      <c r="B367" s="4">
        <v>1</v>
      </c>
      <c r="C367" s="4">
        <v>0</v>
      </c>
      <c r="D367" s="4"/>
    </row>
    <row r="368" spans="1:4" x14ac:dyDescent="0.3">
      <c r="A368" s="2"/>
      <c r="B368" s="4">
        <v>1</v>
      </c>
      <c r="C368" s="4">
        <v>0</v>
      </c>
      <c r="D368" s="4"/>
    </row>
    <row r="369" spans="1:4" x14ac:dyDescent="0.3">
      <c r="A369" s="2"/>
      <c r="B369" s="4">
        <v>1</v>
      </c>
      <c r="C369" s="4">
        <v>0</v>
      </c>
      <c r="D369" s="4"/>
    </row>
    <row r="370" spans="1:4" x14ac:dyDescent="0.3">
      <c r="A370" s="2"/>
      <c r="B370" s="4">
        <v>1</v>
      </c>
      <c r="C370" s="4">
        <v>0</v>
      </c>
      <c r="D370" s="4"/>
    </row>
    <row r="371" spans="1:4" x14ac:dyDescent="0.3">
      <c r="A371" s="2"/>
      <c r="B371" s="4">
        <v>1</v>
      </c>
      <c r="C371" s="4">
        <v>0</v>
      </c>
      <c r="D371" s="4"/>
    </row>
    <row r="372" spans="1:4" x14ac:dyDescent="0.3">
      <c r="A372" s="2"/>
      <c r="B372" s="4">
        <v>1</v>
      </c>
      <c r="C372" s="4">
        <v>0</v>
      </c>
      <c r="D372" s="4"/>
    </row>
    <row r="373" spans="1:4" x14ac:dyDescent="0.3">
      <c r="A373" s="2"/>
      <c r="B373" s="4">
        <v>1</v>
      </c>
      <c r="C373" s="4">
        <v>0</v>
      </c>
      <c r="D373" s="4"/>
    </row>
    <row r="374" spans="1:4" x14ac:dyDescent="0.3">
      <c r="A374" s="2"/>
      <c r="B374" s="4">
        <v>1</v>
      </c>
      <c r="C374" s="4">
        <v>0</v>
      </c>
      <c r="D374" s="4"/>
    </row>
    <row r="375" spans="1:4" x14ac:dyDescent="0.3">
      <c r="A375" s="2"/>
      <c r="B375" s="4">
        <v>1</v>
      </c>
      <c r="C375" s="4">
        <v>0</v>
      </c>
      <c r="D375" s="4"/>
    </row>
    <row r="376" spans="1:4" x14ac:dyDescent="0.3">
      <c r="A376" s="2"/>
      <c r="B376" s="4">
        <v>1</v>
      </c>
      <c r="C376" s="4">
        <v>0</v>
      </c>
      <c r="D376" s="4"/>
    </row>
    <row r="377" spans="1:4" x14ac:dyDescent="0.3">
      <c r="A377" s="2"/>
      <c r="B377" s="4">
        <v>1</v>
      </c>
      <c r="C377" s="4">
        <v>0</v>
      </c>
      <c r="D377" s="4"/>
    </row>
    <row r="378" spans="1:4" x14ac:dyDescent="0.3">
      <c r="A378" s="2"/>
      <c r="B378" s="4">
        <v>1</v>
      </c>
      <c r="C378" s="4">
        <v>0</v>
      </c>
      <c r="D378" s="4"/>
    </row>
    <row r="379" spans="1:4" x14ac:dyDescent="0.3">
      <c r="A379" s="2"/>
      <c r="B379" s="4">
        <v>1</v>
      </c>
      <c r="C379" s="4">
        <v>0</v>
      </c>
      <c r="D379" s="4"/>
    </row>
    <row r="380" spans="1:4" x14ac:dyDescent="0.3">
      <c r="A380" s="2"/>
      <c r="B380" s="4">
        <v>1</v>
      </c>
      <c r="C380" s="4">
        <v>0</v>
      </c>
      <c r="D380" s="4"/>
    </row>
    <row r="381" spans="1:4" x14ac:dyDescent="0.3">
      <c r="A381" s="2"/>
      <c r="B381" s="4">
        <v>1</v>
      </c>
      <c r="C381" s="4">
        <v>0</v>
      </c>
      <c r="D381" s="4"/>
    </row>
    <row r="382" spans="1:4" x14ac:dyDescent="0.3">
      <c r="A382" s="2"/>
      <c r="B382" s="4">
        <v>1</v>
      </c>
      <c r="C382" s="4">
        <v>0</v>
      </c>
      <c r="D382" s="4"/>
    </row>
    <row r="383" spans="1:4" x14ac:dyDescent="0.3">
      <c r="A383" s="2"/>
      <c r="B383" s="4">
        <v>1</v>
      </c>
      <c r="C383" s="4">
        <v>0</v>
      </c>
      <c r="D383" s="4"/>
    </row>
    <row r="384" spans="1:4" x14ac:dyDescent="0.3">
      <c r="A384" s="2"/>
      <c r="B384" s="4">
        <v>1</v>
      </c>
      <c r="C384" s="4">
        <v>0</v>
      </c>
      <c r="D384" s="4"/>
    </row>
    <row r="387" spans="1:4" ht="19.95" customHeight="1" x14ac:dyDescent="0.3">
      <c r="A387" s="55" t="s">
        <v>266</v>
      </c>
      <c r="B387" s="33"/>
      <c r="C387" s="33"/>
      <c r="D387" s="33"/>
    </row>
    <row r="389" spans="1:4" x14ac:dyDescent="0.3">
      <c r="A389" s="1" t="s">
        <v>10</v>
      </c>
      <c r="B389" s="1" t="s">
        <v>267</v>
      </c>
      <c r="C389" s="1" t="s">
        <v>268</v>
      </c>
    </row>
    <row r="390" spans="1:4" x14ac:dyDescent="0.3">
      <c r="A390" s="2" t="s">
        <v>269</v>
      </c>
      <c r="B390" s="4">
        <v>28914</v>
      </c>
      <c r="C390" s="23">
        <v>1</v>
      </c>
    </row>
    <row r="391" spans="1:4" x14ac:dyDescent="0.3">
      <c r="A391" s="2" t="s">
        <v>270</v>
      </c>
      <c r="B391" s="4">
        <v>7008</v>
      </c>
      <c r="C391" s="23">
        <v>0.24237393650134881</v>
      </c>
    </row>
    <row r="392" spans="1:4" x14ac:dyDescent="0.3">
      <c r="A392" s="2" t="s">
        <v>271</v>
      </c>
      <c r="B392" s="4">
        <v>10569</v>
      </c>
      <c r="C392" s="23">
        <v>0.36553226810541611</v>
      </c>
    </row>
    <row r="394" spans="1:4" x14ac:dyDescent="0.3">
      <c r="A394" s="43" t="s">
        <v>264</v>
      </c>
      <c r="B394" s="33"/>
      <c r="C394" s="33"/>
      <c r="D394" s="33"/>
    </row>
    <row r="395" spans="1:4" x14ac:dyDescent="0.3">
      <c r="A395" s="33"/>
      <c r="B395" s="33"/>
      <c r="C395" s="33"/>
      <c r="D395" s="33"/>
    </row>
    <row r="396" spans="1:4" x14ac:dyDescent="0.3">
      <c r="A396" s="33"/>
      <c r="B396" s="33"/>
      <c r="C396" s="33"/>
      <c r="D396" s="33"/>
    </row>
  </sheetData>
  <autoFilter ref="A5:D384" xr:uid="{00000000-0001-0000-0300-000000000000}">
    <sortState xmlns:xlrd2="http://schemas.microsoft.com/office/spreadsheetml/2017/richdata2" ref="A6:D384">
      <sortCondition descending="1" ref="B5:B384"/>
    </sortState>
  </autoFilter>
  <mergeCells count="4">
    <mergeCell ref="A1:D1"/>
    <mergeCell ref="A394:D396"/>
    <mergeCell ref="A2:D3"/>
    <mergeCell ref="A387:D38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92"/>
  <sheetViews>
    <sheetView topLeftCell="A379" workbookViewId="0">
      <selection activeCell="A392" sqref="A14:A392"/>
    </sheetView>
  </sheetViews>
  <sheetFormatPr defaultRowHeight="14.4" x14ac:dyDescent="0.3"/>
  <cols>
    <col min="1" max="1" width="46.5546875" customWidth="1"/>
    <col min="2" max="2" width="17" customWidth="1"/>
    <col min="3" max="4" width="13" customWidth="1"/>
    <col min="5" max="6" width="21" customWidth="1"/>
    <col min="7" max="7" width="27" customWidth="1"/>
    <col min="8" max="8" width="23" customWidth="1"/>
  </cols>
  <sheetData>
    <row r="1" spans="1:8" ht="22.05" customHeight="1" x14ac:dyDescent="0.3">
      <c r="A1" s="32" t="s">
        <v>272</v>
      </c>
      <c r="B1" s="33"/>
      <c r="C1" s="33"/>
      <c r="D1" s="33"/>
      <c r="E1" s="33"/>
      <c r="F1" s="33"/>
      <c r="G1" s="33"/>
      <c r="H1" s="33"/>
    </row>
    <row r="2" spans="1:8" x14ac:dyDescent="0.3">
      <c r="A2" s="43" t="s">
        <v>273</v>
      </c>
      <c r="B2" s="33"/>
      <c r="C2" s="33"/>
      <c r="D2" s="33"/>
      <c r="E2" s="33"/>
      <c r="F2" s="33"/>
      <c r="G2" s="33"/>
      <c r="H2" s="33"/>
    </row>
    <row r="3" spans="1:8" x14ac:dyDescent="0.3">
      <c r="A3" s="33"/>
      <c r="B3" s="33"/>
      <c r="C3" s="33"/>
      <c r="D3" s="33"/>
      <c r="E3" s="33"/>
      <c r="F3" s="33"/>
      <c r="G3" s="33"/>
      <c r="H3" s="33"/>
    </row>
    <row r="5" spans="1:8" ht="26.4" x14ac:dyDescent="0.3">
      <c r="A5" s="21" t="s">
        <v>274</v>
      </c>
      <c r="B5" s="21" t="s">
        <v>275</v>
      </c>
      <c r="C5" s="21" t="s">
        <v>276</v>
      </c>
    </row>
    <row r="6" spans="1:8" x14ac:dyDescent="0.3">
      <c r="A6" s="9" t="s">
        <v>108</v>
      </c>
      <c r="B6" s="4">
        <v>207</v>
      </c>
      <c r="C6" s="23">
        <v>0.54473684210526319</v>
      </c>
      <c r="D6" s="28"/>
    </row>
    <row r="7" spans="1:8" x14ac:dyDescent="0.3">
      <c r="A7" s="9" t="s">
        <v>109</v>
      </c>
      <c r="B7" s="4">
        <v>168</v>
      </c>
      <c r="C7" s="23">
        <v>0.44210526315789472</v>
      </c>
      <c r="D7" s="28"/>
    </row>
    <row r="8" spans="1:8" x14ac:dyDescent="0.3">
      <c r="A8" s="9" t="s">
        <v>60</v>
      </c>
      <c r="B8" s="4">
        <v>3</v>
      </c>
      <c r="C8" s="23">
        <v>7.8947368421052634E-3</v>
      </c>
      <c r="D8" s="28"/>
    </row>
    <row r="9" spans="1:8" x14ac:dyDescent="0.3">
      <c r="A9" s="9" t="s">
        <v>69</v>
      </c>
      <c r="B9" s="4">
        <v>2</v>
      </c>
      <c r="C9" s="23">
        <v>5.263157894736842E-3</v>
      </c>
      <c r="D9" s="28"/>
    </row>
    <row r="10" spans="1:8" x14ac:dyDescent="0.3">
      <c r="A10" s="24" t="s">
        <v>75</v>
      </c>
      <c r="B10" s="22">
        <v>380</v>
      </c>
      <c r="C10" s="25">
        <v>1</v>
      </c>
      <c r="D10" s="28"/>
    </row>
    <row r="13" spans="1:8" ht="26.4" x14ac:dyDescent="0.3">
      <c r="A13" s="21" t="s">
        <v>260</v>
      </c>
      <c r="B13" s="21" t="s">
        <v>237</v>
      </c>
      <c r="C13" s="21" t="s">
        <v>277</v>
      </c>
      <c r="D13" s="21" t="s">
        <v>278</v>
      </c>
      <c r="E13" s="21" t="s">
        <v>279</v>
      </c>
      <c r="F13" s="21" t="s">
        <v>280</v>
      </c>
      <c r="G13" s="21" t="s">
        <v>281</v>
      </c>
      <c r="H13" s="21" t="s">
        <v>282</v>
      </c>
    </row>
    <row r="14" spans="1:8" x14ac:dyDescent="0.3">
      <c r="A14" s="2"/>
      <c r="B14" s="4">
        <v>2772</v>
      </c>
      <c r="C14" s="4">
        <v>1021</v>
      </c>
      <c r="D14" s="4">
        <v>1751</v>
      </c>
      <c r="E14" s="4">
        <v>36.832611832611832</v>
      </c>
      <c r="F14" s="4">
        <v>63.167388167388182</v>
      </c>
      <c r="G14" s="4">
        <v>1.714985308521058</v>
      </c>
      <c r="H14" s="29">
        <v>9.5870512554471876</v>
      </c>
    </row>
    <row r="15" spans="1:8" x14ac:dyDescent="0.3">
      <c r="A15" s="2"/>
      <c r="B15" s="4">
        <v>1150</v>
      </c>
      <c r="C15" s="4">
        <v>546</v>
      </c>
      <c r="D15" s="4">
        <v>604</v>
      </c>
      <c r="E15" s="4">
        <v>47.478260869565219</v>
      </c>
      <c r="F15" s="4">
        <v>52.521739130434788</v>
      </c>
      <c r="G15" s="4">
        <v>1.1062271062271061</v>
      </c>
      <c r="H15" s="29">
        <v>3.9773120287749881</v>
      </c>
    </row>
    <row r="16" spans="1:8" x14ac:dyDescent="0.3">
      <c r="A16" s="2"/>
      <c r="B16" s="4">
        <v>1103</v>
      </c>
      <c r="C16" s="4">
        <v>524</v>
      </c>
      <c r="D16" s="4">
        <v>579</v>
      </c>
      <c r="E16" s="4">
        <v>47.506799637352678</v>
      </c>
      <c r="F16" s="4">
        <v>52.493200362647329</v>
      </c>
      <c r="G16" s="4">
        <v>1.104961832061069</v>
      </c>
      <c r="H16" s="29">
        <v>3.814761015425054</v>
      </c>
    </row>
    <row r="17" spans="1:8" x14ac:dyDescent="0.3">
      <c r="A17" s="2"/>
      <c r="B17" s="4">
        <v>1040</v>
      </c>
      <c r="C17" s="4">
        <v>666</v>
      </c>
      <c r="D17" s="4">
        <v>374</v>
      </c>
      <c r="E17" s="4">
        <v>64.038461538461533</v>
      </c>
      <c r="F17" s="4">
        <v>35.96153846153846</v>
      </c>
      <c r="G17" s="4">
        <v>0.56156156156156156</v>
      </c>
      <c r="H17" s="29">
        <v>3.596873486892163</v>
      </c>
    </row>
    <row r="18" spans="1:8" x14ac:dyDescent="0.3">
      <c r="A18" s="2"/>
      <c r="B18" s="4">
        <v>943</v>
      </c>
      <c r="C18" s="4">
        <v>327</v>
      </c>
      <c r="D18" s="4">
        <v>616</v>
      </c>
      <c r="E18" s="4">
        <v>34.676564156945908</v>
      </c>
      <c r="F18" s="4">
        <v>65.323435843054085</v>
      </c>
      <c r="G18" s="4">
        <v>1.883792048929664</v>
      </c>
      <c r="H18" s="29">
        <v>3.2613958635954901</v>
      </c>
    </row>
    <row r="19" spans="1:8" x14ac:dyDescent="0.3">
      <c r="A19" s="2"/>
      <c r="B19" s="4">
        <v>920</v>
      </c>
      <c r="C19" s="4">
        <v>479</v>
      </c>
      <c r="D19" s="4">
        <v>441</v>
      </c>
      <c r="E19" s="4">
        <v>52.065217391304351</v>
      </c>
      <c r="F19" s="4">
        <v>47.934782608695663</v>
      </c>
      <c r="G19" s="4">
        <v>0.92066805845511479</v>
      </c>
      <c r="H19" s="29">
        <v>3.18184962301999</v>
      </c>
    </row>
    <row r="20" spans="1:8" x14ac:dyDescent="0.3">
      <c r="A20" s="2"/>
      <c r="B20" s="4">
        <v>836</v>
      </c>
      <c r="C20" s="4">
        <v>263</v>
      </c>
      <c r="D20" s="4">
        <v>573</v>
      </c>
      <c r="E20" s="4">
        <v>31.459330143540669</v>
      </c>
      <c r="F20" s="4">
        <v>68.540669856459331</v>
      </c>
      <c r="G20" s="4">
        <v>2.1787072243346008</v>
      </c>
      <c r="H20" s="29">
        <v>2.89133291830947</v>
      </c>
    </row>
    <row r="21" spans="1:8" x14ac:dyDescent="0.3">
      <c r="A21" s="2"/>
      <c r="B21" s="4">
        <v>627</v>
      </c>
      <c r="C21" s="4">
        <v>627</v>
      </c>
      <c r="D21" s="4">
        <v>0</v>
      </c>
      <c r="E21" s="4">
        <v>100</v>
      </c>
      <c r="F21" s="4">
        <v>0</v>
      </c>
      <c r="G21" s="4">
        <v>0</v>
      </c>
      <c r="H21" s="29">
        <v>2.1684996887321022</v>
      </c>
    </row>
    <row r="22" spans="1:8" x14ac:dyDescent="0.3">
      <c r="A22" s="2"/>
      <c r="B22" s="4">
        <v>607</v>
      </c>
      <c r="C22" s="4">
        <v>571</v>
      </c>
      <c r="D22" s="4">
        <v>36</v>
      </c>
      <c r="E22" s="4">
        <v>94.06919275123559</v>
      </c>
      <c r="F22" s="4">
        <v>5.930807248764415</v>
      </c>
      <c r="G22" s="4">
        <v>6.3047285464098074E-2</v>
      </c>
      <c r="H22" s="29">
        <v>2.0993290447534072</v>
      </c>
    </row>
    <row r="23" spans="1:8" x14ac:dyDescent="0.3">
      <c r="A23" s="2"/>
      <c r="B23" s="4">
        <v>571</v>
      </c>
      <c r="C23" s="4">
        <v>180</v>
      </c>
      <c r="D23" s="4">
        <v>391</v>
      </c>
      <c r="E23" s="4">
        <v>31.52364273204903</v>
      </c>
      <c r="F23" s="4">
        <v>68.476357267950959</v>
      </c>
      <c r="G23" s="4">
        <v>2.1722222222222221</v>
      </c>
      <c r="H23" s="29">
        <v>1.974821885591755</v>
      </c>
    </row>
    <row r="24" spans="1:8" x14ac:dyDescent="0.3">
      <c r="A24" s="2"/>
      <c r="B24" s="4">
        <v>552</v>
      </c>
      <c r="C24" s="4">
        <v>158</v>
      </c>
      <c r="D24" s="4">
        <v>394</v>
      </c>
      <c r="E24" s="4">
        <v>28.623188405797102</v>
      </c>
      <c r="F24" s="4">
        <v>71.376811594202891</v>
      </c>
      <c r="G24" s="4">
        <v>2.4936708860759489</v>
      </c>
      <c r="H24" s="29">
        <v>1.909109773811994</v>
      </c>
    </row>
    <row r="25" spans="1:8" x14ac:dyDescent="0.3">
      <c r="A25" s="2"/>
      <c r="B25" s="4">
        <v>542</v>
      </c>
      <c r="C25" s="4">
        <v>323</v>
      </c>
      <c r="D25" s="4">
        <v>219</v>
      </c>
      <c r="E25" s="4">
        <v>59.594095940959413</v>
      </c>
      <c r="F25" s="4">
        <v>40.405904059040587</v>
      </c>
      <c r="G25" s="4">
        <v>0.67801857585139313</v>
      </c>
      <c r="H25" s="29">
        <v>1.8745244518226469</v>
      </c>
    </row>
    <row r="26" spans="1:8" x14ac:dyDescent="0.3">
      <c r="A26" s="2"/>
      <c r="B26" s="4">
        <v>484</v>
      </c>
      <c r="C26" s="4">
        <v>479</v>
      </c>
      <c r="D26" s="4">
        <v>5</v>
      </c>
      <c r="E26" s="4">
        <v>98.966942148760324</v>
      </c>
      <c r="F26" s="4">
        <v>1.03305785123967</v>
      </c>
      <c r="G26" s="4">
        <v>1.04384133611691E-2</v>
      </c>
      <c r="H26" s="29">
        <v>1.67392958428443</v>
      </c>
    </row>
    <row r="27" spans="1:8" x14ac:dyDescent="0.3">
      <c r="A27" s="2"/>
      <c r="B27" s="4">
        <v>472</v>
      </c>
      <c r="C27" s="4">
        <v>124</v>
      </c>
      <c r="D27" s="4">
        <v>348</v>
      </c>
      <c r="E27" s="4">
        <v>26.271186440677969</v>
      </c>
      <c r="F27" s="4">
        <v>73.728813559322035</v>
      </c>
      <c r="G27" s="4">
        <v>2.806451612903226</v>
      </c>
      <c r="H27" s="29">
        <v>1.632427197897212</v>
      </c>
    </row>
    <row r="28" spans="1:8" x14ac:dyDescent="0.3">
      <c r="A28" s="2"/>
      <c r="B28" s="4">
        <v>456</v>
      </c>
      <c r="C28" s="4">
        <v>242</v>
      </c>
      <c r="D28" s="4">
        <v>214</v>
      </c>
      <c r="E28" s="4">
        <v>53.070175438596493</v>
      </c>
      <c r="F28" s="4">
        <v>46.929824561403507</v>
      </c>
      <c r="G28" s="4">
        <v>0.88429752066115708</v>
      </c>
      <c r="H28" s="29">
        <v>1.5770906827142559</v>
      </c>
    </row>
    <row r="29" spans="1:8" x14ac:dyDescent="0.3">
      <c r="A29" s="2"/>
      <c r="B29" s="4">
        <v>410</v>
      </c>
      <c r="C29" s="4">
        <v>146</v>
      </c>
      <c r="D29" s="4">
        <v>264</v>
      </c>
      <c r="E29" s="4">
        <v>35.609756097560982</v>
      </c>
      <c r="F29" s="4">
        <v>64.390243902439025</v>
      </c>
      <c r="G29" s="4">
        <v>1.8082191780821919</v>
      </c>
      <c r="H29" s="29">
        <v>1.4179982015632571</v>
      </c>
    </row>
    <row r="30" spans="1:8" x14ac:dyDescent="0.3">
      <c r="A30" s="2"/>
      <c r="B30" s="4">
        <v>375</v>
      </c>
      <c r="C30" s="4">
        <v>358</v>
      </c>
      <c r="D30" s="4">
        <v>17</v>
      </c>
      <c r="E30" s="4">
        <v>95.466666666666669</v>
      </c>
      <c r="F30" s="4">
        <v>4.5333333333333332</v>
      </c>
      <c r="G30" s="4">
        <v>4.7486033519553071E-2</v>
      </c>
      <c r="H30" s="29">
        <v>1.2969495746005399</v>
      </c>
    </row>
    <row r="31" spans="1:8" x14ac:dyDescent="0.3">
      <c r="A31" s="2"/>
      <c r="B31" s="4">
        <v>367</v>
      </c>
      <c r="C31" s="4">
        <v>128</v>
      </c>
      <c r="D31" s="4">
        <v>239</v>
      </c>
      <c r="E31" s="4">
        <v>34.877384196185282</v>
      </c>
      <c r="F31" s="4">
        <v>65.12261580381471</v>
      </c>
      <c r="G31" s="4">
        <v>1.8671875</v>
      </c>
      <c r="H31" s="29">
        <v>1.2692813170090611</v>
      </c>
    </row>
    <row r="32" spans="1:8" x14ac:dyDescent="0.3">
      <c r="A32" s="2"/>
      <c r="B32" s="4">
        <v>363</v>
      </c>
      <c r="C32" s="4">
        <v>334</v>
      </c>
      <c r="D32" s="4">
        <v>29</v>
      </c>
      <c r="E32" s="4">
        <v>92.011019283746549</v>
      </c>
      <c r="F32" s="4">
        <v>7.9889807162534439</v>
      </c>
      <c r="G32" s="4">
        <v>8.6826347305389226E-2</v>
      </c>
      <c r="H32" s="29">
        <v>1.255447188213322</v>
      </c>
    </row>
    <row r="33" spans="1:8" x14ac:dyDescent="0.3">
      <c r="A33" s="2"/>
      <c r="B33" s="4">
        <v>341</v>
      </c>
      <c r="C33" s="4">
        <v>189</v>
      </c>
      <c r="D33" s="4">
        <v>152</v>
      </c>
      <c r="E33" s="4">
        <v>55.425219941348971</v>
      </c>
      <c r="F33" s="4">
        <v>44.574780058651022</v>
      </c>
      <c r="G33" s="4">
        <v>0.80423280423280419</v>
      </c>
      <c r="H33" s="29">
        <v>1.179359479836757</v>
      </c>
    </row>
    <row r="34" spans="1:8" x14ac:dyDescent="0.3">
      <c r="A34" s="2"/>
      <c r="B34" s="4">
        <v>333</v>
      </c>
      <c r="C34" s="4">
        <v>116</v>
      </c>
      <c r="D34" s="4">
        <v>217</v>
      </c>
      <c r="E34" s="4">
        <v>34.83483483483483</v>
      </c>
      <c r="F34" s="4">
        <v>65.165165165165163</v>
      </c>
      <c r="G34" s="4">
        <v>1.8706896551724139</v>
      </c>
      <c r="H34" s="29">
        <v>1.1516912222452791</v>
      </c>
    </row>
    <row r="35" spans="1:8" x14ac:dyDescent="0.3">
      <c r="A35" s="2"/>
      <c r="B35" s="4">
        <v>316</v>
      </c>
      <c r="C35" s="4">
        <v>240</v>
      </c>
      <c r="D35" s="4">
        <v>76</v>
      </c>
      <c r="E35" s="4">
        <v>75.949367088607602</v>
      </c>
      <c r="F35" s="4">
        <v>24.050632911392409</v>
      </c>
      <c r="G35" s="4">
        <v>0.31666666666666671</v>
      </c>
      <c r="H35" s="29">
        <v>1.0928961748633881</v>
      </c>
    </row>
    <row r="36" spans="1:8" x14ac:dyDescent="0.3">
      <c r="A36" s="2"/>
      <c r="B36" s="4">
        <v>305</v>
      </c>
      <c r="C36" s="4">
        <v>295</v>
      </c>
      <c r="D36" s="4">
        <v>10</v>
      </c>
      <c r="E36" s="4">
        <v>96.721311475409834</v>
      </c>
      <c r="F36" s="4">
        <v>3.278688524590164</v>
      </c>
      <c r="G36" s="4">
        <v>3.3898305084745763E-2</v>
      </c>
      <c r="H36" s="29">
        <v>1.054852320675105</v>
      </c>
    </row>
    <row r="37" spans="1:8" x14ac:dyDescent="0.3">
      <c r="A37" s="2"/>
      <c r="B37" s="4">
        <v>297</v>
      </c>
      <c r="C37" s="4">
        <v>183</v>
      </c>
      <c r="D37" s="4">
        <v>114</v>
      </c>
      <c r="E37" s="4">
        <v>61.616161616161612</v>
      </c>
      <c r="F37" s="4">
        <v>38.383838383838381</v>
      </c>
      <c r="G37" s="4">
        <v>0.62295081967213117</v>
      </c>
      <c r="H37" s="29">
        <v>1.0271840630836271</v>
      </c>
    </row>
    <row r="38" spans="1:8" x14ac:dyDescent="0.3">
      <c r="A38" s="2"/>
      <c r="B38" s="4">
        <v>296</v>
      </c>
      <c r="C38" s="4">
        <v>277</v>
      </c>
      <c r="D38" s="4">
        <v>19</v>
      </c>
      <c r="E38" s="4">
        <v>93.581081081081081</v>
      </c>
      <c r="F38" s="4">
        <v>6.4189189189189184</v>
      </c>
      <c r="G38" s="4">
        <v>6.8592057761732855E-2</v>
      </c>
      <c r="H38" s="29">
        <v>1.0237255308846931</v>
      </c>
    </row>
    <row r="39" spans="1:8" x14ac:dyDescent="0.3">
      <c r="A39" s="2"/>
      <c r="B39" s="4">
        <v>295</v>
      </c>
      <c r="C39" s="4">
        <v>295</v>
      </c>
      <c r="D39" s="4">
        <v>0</v>
      </c>
      <c r="E39" s="4">
        <v>100</v>
      </c>
      <c r="F39" s="4">
        <v>0</v>
      </c>
      <c r="G39" s="4">
        <v>0</v>
      </c>
      <c r="H39" s="29">
        <v>1.020266998685758</v>
      </c>
    </row>
    <row r="40" spans="1:8" x14ac:dyDescent="0.3">
      <c r="A40" s="2"/>
      <c r="B40" s="4">
        <v>294</v>
      </c>
      <c r="C40" s="4">
        <v>71</v>
      </c>
      <c r="D40" s="4">
        <v>223</v>
      </c>
      <c r="E40" s="4">
        <v>24.14965986394558</v>
      </c>
      <c r="F40" s="4">
        <v>75.850340136054413</v>
      </c>
      <c r="G40" s="4">
        <v>3.140845070422535</v>
      </c>
      <c r="H40" s="29">
        <v>1.0168084664868231</v>
      </c>
    </row>
    <row r="41" spans="1:8" x14ac:dyDescent="0.3">
      <c r="A41" s="2"/>
      <c r="B41" s="4">
        <v>269</v>
      </c>
      <c r="C41" s="4">
        <v>265</v>
      </c>
      <c r="D41" s="4">
        <v>4</v>
      </c>
      <c r="E41" s="4">
        <v>98.513011152416354</v>
      </c>
      <c r="F41" s="4">
        <v>1.486988847583643</v>
      </c>
      <c r="G41" s="4">
        <v>1.509433962264151E-2</v>
      </c>
      <c r="H41" s="29">
        <v>0.93034516151345359</v>
      </c>
    </row>
    <row r="42" spans="1:8" x14ac:dyDescent="0.3">
      <c r="A42" s="2"/>
      <c r="B42" s="4">
        <v>264</v>
      </c>
      <c r="C42" s="4">
        <v>191</v>
      </c>
      <c r="D42" s="4">
        <v>73</v>
      </c>
      <c r="E42" s="4">
        <v>72.348484848484844</v>
      </c>
      <c r="F42" s="4">
        <v>27.651515151515149</v>
      </c>
      <c r="G42" s="4">
        <v>0.38219895287958122</v>
      </c>
      <c r="H42" s="29">
        <v>0.91305250051877984</v>
      </c>
    </row>
    <row r="43" spans="1:8" x14ac:dyDescent="0.3">
      <c r="A43" s="2"/>
      <c r="B43" s="4">
        <v>252</v>
      </c>
      <c r="C43" s="4">
        <v>200</v>
      </c>
      <c r="D43" s="4">
        <v>52</v>
      </c>
      <c r="E43" s="4">
        <v>79.365079365079367</v>
      </c>
      <c r="F43" s="4">
        <v>20.634920634920629</v>
      </c>
      <c r="G43" s="4">
        <v>0.26</v>
      </c>
      <c r="H43" s="29">
        <v>0.87155011413156269</v>
      </c>
    </row>
    <row r="44" spans="1:8" x14ac:dyDescent="0.3">
      <c r="A44" s="2"/>
      <c r="B44" s="4">
        <v>243</v>
      </c>
      <c r="C44" s="4">
        <v>85</v>
      </c>
      <c r="D44" s="4">
        <v>158</v>
      </c>
      <c r="E44" s="4">
        <v>34.979423868312757</v>
      </c>
      <c r="F44" s="4">
        <v>65.02057613168725</v>
      </c>
      <c r="G44" s="4">
        <v>1.858823529411765</v>
      </c>
      <c r="H44" s="29">
        <v>0.84042332434114964</v>
      </c>
    </row>
    <row r="45" spans="1:8" x14ac:dyDescent="0.3">
      <c r="A45" s="2"/>
      <c r="B45" s="4">
        <v>237</v>
      </c>
      <c r="C45" s="4">
        <v>231</v>
      </c>
      <c r="D45" s="4">
        <v>6</v>
      </c>
      <c r="E45" s="4">
        <v>97.468354430379748</v>
      </c>
      <c r="F45" s="4">
        <v>2.5316455696202529</v>
      </c>
      <c r="G45" s="4">
        <v>2.5974025974025979E-2</v>
      </c>
      <c r="H45" s="29">
        <v>0.81967213114754101</v>
      </c>
    </row>
    <row r="46" spans="1:8" x14ac:dyDescent="0.3">
      <c r="A46" s="2"/>
      <c r="B46" s="4">
        <v>232</v>
      </c>
      <c r="C46" s="4">
        <v>118</v>
      </c>
      <c r="D46" s="4">
        <v>114</v>
      </c>
      <c r="E46" s="4">
        <v>50.862068965517238</v>
      </c>
      <c r="F46" s="4">
        <v>49.137931034482747</v>
      </c>
      <c r="G46" s="4">
        <v>0.96610169491525422</v>
      </c>
      <c r="H46" s="29">
        <v>0.80237947015286715</v>
      </c>
    </row>
    <row r="47" spans="1:8" x14ac:dyDescent="0.3">
      <c r="A47" s="2"/>
      <c r="B47" s="4">
        <v>223</v>
      </c>
      <c r="C47" s="4">
        <v>117</v>
      </c>
      <c r="D47" s="4">
        <v>106</v>
      </c>
      <c r="E47" s="4">
        <v>52.46636771300448</v>
      </c>
      <c r="F47" s="4">
        <v>47.533632286995513</v>
      </c>
      <c r="G47" s="4">
        <v>0.90598290598290598</v>
      </c>
      <c r="H47" s="29">
        <v>0.7712526803624542</v>
      </c>
    </row>
    <row r="48" spans="1:8" x14ac:dyDescent="0.3">
      <c r="A48" s="2"/>
      <c r="B48" s="4">
        <v>216</v>
      </c>
      <c r="C48" s="4">
        <v>78</v>
      </c>
      <c r="D48" s="4">
        <v>138</v>
      </c>
      <c r="E48" s="4">
        <v>36.111111111111107</v>
      </c>
      <c r="F48" s="4">
        <v>63.888888888888893</v>
      </c>
      <c r="G48" s="4">
        <v>1.7692307692307689</v>
      </c>
      <c r="H48" s="29">
        <v>0.7470429549699108</v>
      </c>
    </row>
    <row r="49" spans="1:8" x14ac:dyDescent="0.3">
      <c r="A49" s="2"/>
      <c r="B49" s="4">
        <v>200</v>
      </c>
      <c r="C49" s="4">
        <v>169</v>
      </c>
      <c r="D49" s="4">
        <v>31</v>
      </c>
      <c r="E49" s="4">
        <v>84.5</v>
      </c>
      <c r="F49" s="4">
        <v>15.5</v>
      </c>
      <c r="G49" s="4">
        <v>0.18343195266272189</v>
      </c>
      <c r="H49" s="29">
        <v>0.69170643978695445</v>
      </c>
    </row>
    <row r="50" spans="1:8" x14ac:dyDescent="0.3">
      <c r="A50" s="2"/>
      <c r="B50" s="4">
        <v>189</v>
      </c>
      <c r="C50" s="4">
        <v>51</v>
      </c>
      <c r="D50" s="4">
        <v>138</v>
      </c>
      <c r="E50" s="4">
        <v>26.984126984126981</v>
      </c>
      <c r="F50" s="4">
        <v>73.015873015873012</v>
      </c>
      <c r="G50" s="4">
        <v>2.7058823529411771</v>
      </c>
      <c r="H50" s="29">
        <v>0.65366258559867185</v>
      </c>
    </row>
    <row r="51" spans="1:8" x14ac:dyDescent="0.3">
      <c r="A51" s="2"/>
      <c r="B51" s="4">
        <v>186</v>
      </c>
      <c r="C51" s="4">
        <v>186</v>
      </c>
      <c r="D51" s="4">
        <v>0</v>
      </c>
      <c r="E51" s="4">
        <v>100</v>
      </c>
      <c r="F51" s="4">
        <v>0</v>
      </c>
      <c r="G51" s="4">
        <v>0</v>
      </c>
      <c r="H51" s="29">
        <v>0.64328698900186754</v>
      </c>
    </row>
    <row r="52" spans="1:8" x14ac:dyDescent="0.3">
      <c r="A52" s="2"/>
      <c r="B52" s="4">
        <v>177</v>
      </c>
      <c r="C52" s="4">
        <v>176</v>
      </c>
      <c r="D52" s="4">
        <v>1</v>
      </c>
      <c r="E52" s="4">
        <v>99.435028248587571</v>
      </c>
      <c r="F52" s="4">
        <v>0.56497175141242939</v>
      </c>
      <c r="G52" s="4">
        <v>5.681818181818182E-3</v>
      </c>
      <c r="H52" s="29">
        <v>0.6121601992114547</v>
      </c>
    </row>
    <row r="53" spans="1:8" x14ac:dyDescent="0.3">
      <c r="A53" s="2"/>
      <c r="B53" s="4">
        <v>169</v>
      </c>
      <c r="C53" s="4">
        <v>54</v>
      </c>
      <c r="D53" s="4">
        <v>115</v>
      </c>
      <c r="E53" s="4">
        <v>31.952662721893489</v>
      </c>
      <c r="F53" s="4">
        <v>68.047337278106511</v>
      </c>
      <c r="G53" s="4">
        <v>2.1296296296296302</v>
      </c>
      <c r="H53" s="29">
        <v>0.58449194161997642</v>
      </c>
    </row>
    <row r="54" spans="1:8" x14ac:dyDescent="0.3">
      <c r="A54" s="2"/>
      <c r="B54" s="4">
        <v>169</v>
      </c>
      <c r="C54" s="4">
        <v>56</v>
      </c>
      <c r="D54" s="4">
        <v>113</v>
      </c>
      <c r="E54" s="4">
        <v>33.136094674556219</v>
      </c>
      <c r="F54" s="4">
        <v>66.863905325443781</v>
      </c>
      <c r="G54" s="4">
        <v>2.0178571428571428</v>
      </c>
      <c r="H54" s="29">
        <v>0.58449194161997642</v>
      </c>
    </row>
    <row r="55" spans="1:8" x14ac:dyDescent="0.3">
      <c r="A55" s="2"/>
      <c r="B55" s="4">
        <v>160</v>
      </c>
      <c r="C55" s="4">
        <v>73</v>
      </c>
      <c r="D55" s="4">
        <v>87</v>
      </c>
      <c r="E55" s="4">
        <v>45.625</v>
      </c>
      <c r="F55" s="4">
        <v>54.374999999999993</v>
      </c>
      <c r="G55" s="4">
        <v>1.1917808219178081</v>
      </c>
      <c r="H55" s="29">
        <v>0.55336515182956347</v>
      </c>
    </row>
    <row r="56" spans="1:8" x14ac:dyDescent="0.3">
      <c r="A56" s="2"/>
      <c r="B56" s="4">
        <v>143</v>
      </c>
      <c r="C56" s="4">
        <v>51</v>
      </c>
      <c r="D56" s="4">
        <v>92</v>
      </c>
      <c r="E56" s="4">
        <v>35.664335664335667</v>
      </c>
      <c r="F56" s="4">
        <v>64.335664335664333</v>
      </c>
      <c r="G56" s="4">
        <v>1.803921568627451</v>
      </c>
      <c r="H56" s="29">
        <v>0.49457010444767241</v>
      </c>
    </row>
    <row r="57" spans="1:8" x14ac:dyDescent="0.3">
      <c r="A57" s="2"/>
      <c r="B57" s="4">
        <v>143</v>
      </c>
      <c r="C57" s="4">
        <v>143</v>
      </c>
      <c r="D57" s="4">
        <v>0</v>
      </c>
      <c r="E57" s="4">
        <v>100</v>
      </c>
      <c r="F57" s="4">
        <v>0</v>
      </c>
      <c r="G57" s="4">
        <v>0</v>
      </c>
      <c r="H57" s="29">
        <v>0.49457010444767241</v>
      </c>
    </row>
    <row r="58" spans="1:8" x14ac:dyDescent="0.3">
      <c r="A58" s="2"/>
      <c r="B58" s="4">
        <v>138</v>
      </c>
      <c r="C58" s="4">
        <v>67</v>
      </c>
      <c r="D58" s="4">
        <v>71</v>
      </c>
      <c r="E58" s="4">
        <v>48.550724637681157</v>
      </c>
      <c r="F58" s="4">
        <v>51.449275362318843</v>
      </c>
      <c r="G58" s="4">
        <v>1.0597014925373129</v>
      </c>
      <c r="H58" s="29">
        <v>0.47727744345299861</v>
      </c>
    </row>
    <row r="59" spans="1:8" x14ac:dyDescent="0.3">
      <c r="A59" s="2"/>
      <c r="B59" s="4">
        <v>134</v>
      </c>
      <c r="C59" s="4">
        <v>134</v>
      </c>
      <c r="D59" s="4">
        <v>0</v>
      </c>
      <c r="E59" s="4">
        <v>100</v>
      </c>
      <c r="F59" s="4">
        <v>0</v>
      </c>
      <c r="G59" s="4">
        <v>0</v>
      </c>
      <c r="H59" s="29">
        <v>0.46344331465725952</v>
      </c>
    </row>
    <row r="60" spans="1:8" x14ac:dyDescent="0.3">
      <c r="A60" s="2"/>
      <c r="B60" s="4">
        <v>132</v>
      </c>
      <c r="C60" s="4">
        <v>102</v>
      </c>
      <c r="D60" s="4">
        <v>30</v>
      </c>
      <c r="E60" s="4">
        <v>77.272727272727266</v>
      </c>
      <c r="F60" s="4">
        <v>22.72727272727273</v>
      </c>
      <c r="G60" s="4">
        <v>0.29411764705882348</v>
      </c>
      <c r="H60" s="29">
        <v>0.45652625025938992</v>
      </c>
    </row>
    <row r="61" spans="1:8" x14ac:dyDescent="0.3">
      <c r="A61" s="2"/>
      <c r="B61" s="4">
        <v>131</v>
      </c>
      <c r="C61" s="4">
        <v>84</v>
      </c>
      <c r="D61" s="4">
        <v>47</v>
      </c>
      <c r="E61" s="4">
        <v>64.122137404580144</v>
      </c>
      <c r="F61" s="4">
        <v>35.877862595419849</v>
      </c>
      <c r="G61" s="4">
        <v>0.55952380952380953</v>
      </c>
      <c r="H61" s="29">
        <v>0.45306771806045509</v>
      </c>
    </row>
    <row r="62" spans="1:8" x14ac:dyDescent="0.3">
      <c r="A62" s="2"/>
      <c r="B62" s="4">
        <v>131</v>
      </c>
      <c r="C62" s="4">
        <v>60</v>
      </c>
      <c r="D62" s="4">
        <v>71</v>
      </c>
      <c r="E62" s="4">
        <v>45.801526717557252</v>
      </c>
      <c r="F62" s="4">
        <v>54.198473282442748</v>
      </c>
      <c r="G62" s="4">
        <v>1.1833333333333329</v>
      </c>
      <c r="H62" s="29">
        <v>0.45306771806045509</v>
      </c>
    </row>
    <row r="63" spans="1:8" x14ac:dyDescent="0.3">
      <c r="A63" s="2"/>
      <c r="B63" s="4">
        <v>126</v>
      </c>
      <c r="C63" s="4">
        <v>46</v>
      </c>
      <c r="D63" s="4">
        <v>80</v>
      </c>
      <c r="E63" s="4">
        <v>36.507936507936513</v>
      </c>
      <c r="F63" s="4">
        <v>63.492063492063487</v>
      </c>
      <c r="G63" s="4">
        <v>1.7391304347826091</v>
      </c>
      <c r="H63" s="29">
        <v>0.43577505706578129</v>
      </c>
    </row>
    <row r="64" spans="1:8" x14ac:dyDescent="0.3">
      <c r="A64" s="2"/>
      <c r="B64" s="4">
        <v>126</v>
      </c>
      <c r="C64" s="4">
        <v>48</v>
      </c>
      <c r="D64" s="4">
        <v>78</v>
      </c>
      <c r="E64" s="4">
        <v>38.095238095238088</v>
      </c>
      <c r="F64" s="4">
        <v>61.904761904761912</v>
      </c>
      <c r="G64" s="4">
        <v>1.625</v>
      </c>
      <c r="H64" s="29">
        <v>0.43577505706578129</v>
      </c>
    </row>
    <row r="65" spans="1:8" x14ac:dyDescent="0.3">
      <c r="A65" s="2"/>
      <c r="B65" s="4">
        <v>122</v>
      </c>
      <c r="C65" s="4">
        <v>110</v>
      </c>
      <c r="D65" s="4">
        <v>12</v>
      </c>
      <c r="E65" s="4">
        <v>90.163934426229503</v>
      </c>
      <c r="F65" s="4">
        <v>9.8360655737704921</v>
      </c>
      <c r="G65" s="4">
        <v>0.1090909090909091</v>
      </c>
      <c r="H65" s="29">
        <v>0.42194092827004209</v>
      </c>
    </row>
    <row r="66" spans="1:8" x14ac:dyDescent="0.3">
      <c r="A66" s="2"/>
      <c r="B66" s="4">
        <v>122</v>
      </c>
      <c r="C66" s="4">
        <v>69</v>
      </c>
      <c r="D66" s="4">
        <v>53</v>
      </c>
      <c r="E66" s="4">
        <v>56.557377049180317</v>
      </c>
      <c r="F66" s="4">
        <v>43.442622950819668</v>
      </c>
      <c r="G66" s="4">
        <v>0.76811594202898548</v>
      </c>
      <c r="H66" s="29">
        <v>0.42194092827004209</v>
      </c>
    </row>
    <row r="67" spans="1:8" x14ac:dyDescent="0.3">
      <c r="A67" s="2"/>
      <c r="B67" s="4">
        <v>121</v>
      </c>
      <c r="C67" s="4">
        <v>120</v>
      </c>
      <c r="D67" s="4">
        <v>1</v>
      </c>
      <c r="E67" s="4">
        <v>99.173553719008268</v>
      </c>
      <c r="F67" s="4">
        <v>0.82644628099173556</v>
      </c>
      <c r="G67" s="4">
        <v>8.3333333333333332E-3</v>
      </c>
      <c r="H67" s="29">
        <v>0.41848239607110738</v>
      </c>
    </row>
    <row r="68" spans="1:8" x14ac:dyDescent="0.3">
      <c r="A68" s="2"/>
      <c r="B68" s="4">
        <v>120</v>
      </c>
      <c r="C68" s="4">
        <v>70</v>
      </c>
      <c r="D68" s="4">
        <v>50</v>
      </c>
      <c r="E68" s="4">
        <v>58.333333333333343</v>
      </c>
      <c r="F68" s="4">
        <v>41.666666666666671</v>
      </c>
      <c r="G68" s="4">
        <v>0.7142857142857143</v>
      </c>
      <c r="H68" s="29">
        <v>0.4150238638721726</v>
      </c>
    </row>
    <row r="69" spans="1:8" x14ac:dyDescent="0.3">
      <c r="A69" s="2"/>
      <c r="B69" s="4">
        <v>116</v>
      </c>
      <c r="C69" s="4">
        <v>33</v>
      </c>
      <c r="D69" s="4">
        <v>83</v>
      </c>
      <c r="E69" s="4">
        <v>28.448275862068972</v>
      </c>
      <c r="F69" s="4">
        <v>71.551724137931032</v>
      </c>
      <c r="G69" s="4">
        <v>2.5151515151515151</v>
      </c>
      <c r="H69" s="29">
        <v>0.40118973507643357</v>
      </c>
    </row>
    <row r="70" spans="1:8" x14ac:dyDescent="0.3">
      <c r="A70" s="2"/>
      <c r="B70" s="4">
        <v>111</v>
      </c>
      <c r="C70" s="4">
        <v>111</v>
      </c>
      <c r="D70" s="4">
        <v>0</v>
      </c>
      <c r="E70" s="4">
        <v>100</v>
      </c>
      <c r="F70" s="4">
        <v>0</v>
      </c>
      <c r="G70" s="4">
        <v>0</v>
      </c>
      <c r="H70" s="29">
        <v>0.38389707408175971</v>
      </c>
    </row>
    <row r="71" spans="1:8" x14ac:dyDescent="0.3">
      <c r="A71" s="2"/>
      <c r="B71" s="4">
        <v>99</v>
      </c>
      <c r="C71" s="4">
        <v>30</v>
      </c>
      <c r="D71" s="4">
        <v>69</v>
      </c>
      <c r="E71" s="4">
        <v>30.303030303030301</v>
      </c>
      <c r="F71" s="4">
        <v>69.696969696969703</v>
      </c>
      <c r="G71" s="4">
        <v>2.2999999999999998</v>
      </c>
      <c r="H71" s="29">
        <v>0.34239468769454251</v>
      </c>
    </row>
    <row r="72" spans="1:8" x14ac:dyDescent="0.3">
      <c r="A72" s="2"/>
      <c r="B72" s="4">
        <v>96</v>
      </c>
      <c r="C72" s="4">
        <v>96</v>
      </c>
      <c r="D72" s="4">
        <v>0</v>
      </c>
      <c r="E72" s="4">
        <v>100</v>
      </c>
      <c r="F72" s="4">
        <v>0</v>
      </c>
      <c r="G72" s="4">
        <v>0</v>
      </c>
      <c r="H72" s="29">
        <v>0.33201909109773808</v>
      </c>
    </row>
    <row r="73" spans="1:8" x14ac:dyDescent="0.3">
      <c r="A73" s="2"/>
      <c r="B73" s="4">
        <v>95</v>
      </c>
      <c r="C73" s="4">
        <v>85</v>
      </c>
      <c r="D73" s="4">
        <v>10</v>
      </c>
      <c r="E73" s="4">
        <v>89.473684210526315</v>
      </c>
      <c r="F73" s="4">
        <v>10.52631578947368</v>
      </c>
      <c r="G73" s="4">
        <v>0.1176470588235294</v>
      </c>
      <c r="H73" s="29">
        <v>0.32856055889880331</v>
      </c>
    </row>
    <row r="74" spans="1:8" x14ac:dyDescent="0.3">
      <c r="A74" s="2"/>
      <c r="B74" s="4">
        <v>95</v>
      </c>
      <c r="C74" s="4">
        <v>91</v>
      </c>
      <c r="D74" s="4">
        <v>4</v>
      </c>
      <c r="E74" s="4">
        <v>95.78947368421052</v>
      </c>
      <c r="F74" s="4">
        <v>4.2105263157894726</v>
      </c>
      <c r="G74" s="4">
        <v>4.3956043956043959E-2</v>
      </c>
      <c r="H74" s="29">
        <v>0.32856055889880331</v>
      </c>
    </row>
    <row r="75" spans="1:8" x14ac:dyDescent="0.3">
      <c r="A75" s="2"/>
      <c r="B75" s="4">
        <v>94</v>
      </c>
      <c r="C75" s="4">
        <v>60</v>
      </c>
      <c r="D75" s="4">
        <v>34</v>
      </c>
      <c r="E75" s="4">
        <v>63.829787234042563</v>
      </c>
      <c r="F75" s="4">
        <v>36.170212765957451</v>
      </c>
      <c r="G75" s="4">
        <v>0.56666666666666665</v>
      </c>
      <c r="H75" s="29">
        <v>0.32510202669986848</v>
      </c>
    </row>
    <row r="76" spans="1:8" x14ac:dyDescent="0.3">
      <c r="A76" s="2"/>
      <c r="B76" s="4">
        <v>92</v>
      </c>
      <c r="C76" s="4">
        <v>92</v>
      </c>
      <c r="D76" s="4">
        <v>0</v>
      </c>
      <c r="E76" s="4">
        <v>100</v>
      </c>
      <c r="F76" s="4">
        <v>0</v>
      </c>
      <c r="G76" s="4">
        <v>0</v>
      </c>
      <c r="H76" s="29">
        <v>0.318184962301999</v>
      </c>
    </row>
    <row r="77" spans="1:8" x14ac:dyDescent="0.3">
      <c r="A77" s="2"/>
      <c r="B77" s="4">
        <v>91</v>
      </c>
      <c r="C77" s="4">
        <v>91</v>
      </c>
      <c r="D77" s="4">
        <v>0</v>
      </c>
      <c r="E77" s="4">
        <v>100</v>
      </c>
      <c r="F77" s="4">
        <v>0</v>
      </c>
      <c r="G77" s="4">
        <v>0</v>
      </c>
      <c r="H77" s="29">
        <v>0.31472643010306428</v>
      </c>
    </row>
    <row r="78" spans="1:8" x14ac:dyDescent="0.3">
      <c r="A78" s="2"/>
      <c r="B78" s="4">
        <v>90</v>
      </c>
      <c r="C78" s="4">
        <v>90</v>
      </c>
      <c r="D78" s="4">
        <v>0</v>
      </c>
      <c r="E78" s="4">
        <v>100</v>
      </c>
      <c r="F78" s="4">
        <v>0</v>
      </c>
      <c r="G78" s="4">
        <v>0</v>
      </c>
      <c r="H78" s="29">
        <v>0.31126789790412951</v>
      </c>
    </row>
    <row r="79" spans="1:8" x14ac:dyDescent="0.3">
      <c r="A79" s="2"/>
      <c r="B79" s="4">
        <v>88</v>
      </c>
      <c r="C79" s="4">
        <v>31</v>
      </c>
      <c r="D79" s="4">
        <v>57</v>
      </c>
      <c r="E79" s="4">
        <v>35.227272727272727</v>
      </c>
      <c r="F79" s="4">
        <v>64.772727272727266</v>
      </c>
      <c r="G79" s="4">
        <v>1.838709677419355</v>
      </c>
      <c r="H79" s="29">
        <v>0.30435083350626002</v>
      </c>
    </row>
    <row r="80" spans="1:8" x14ac:dyDescent="0.3">
      <c r="A80" s="2"/>
      <c r="B80" s="4">
        <v>86</v>
      </c>
      <c r="C80" s="4">
        <v>40</v>
      </c>
      <c r="D80" s="4">
        <v>46</v>
      </c>
      <c r="E80" s="4">
        <v>46.511627906976742</v>
      </c>
      <c r="F80" s="4">
        <v>53.488372093023251</v>
      </c>
      <c r="G80" s="4">
        <v>1.1499999999999999</v>
      </c>
      <c r="H80" s="29">
        <v>0.29743376910839042</v>
      </c>
    </row>
    <row r="81" spans="1:8" x14ac:dyDescent="0.3">
      <c r="A81" s="2"/>
      <c r="B81" s="4">
        <v>85</v>
      </c>
      <c r="C81" s="4">
        <v>38</v>
      </c>
      <c r="D81" s="4">
        <v>47</v>
      </c>
      <c r="E81" s="4">
        <v>44.705882352941181</v>
      </c>
      <c r="F81" s="4">
        <v>55.294117647058833</v>
      </c>
      <c r="G81" s="4">
        <v>1.236842105263158</v>
      </c>
      <c r="H81" s="29">
        <v>0.29397523690945571</v>
      </c>
    </row>
    <row r="82" spans="1:8" x14ac:dyDescent="0.3">
      <c r="A82" s="2"/>
      <c r="B82" s="4">
        <v>83</v>
      </c>
      <c r="C82" s="4">
        <v>23</v>
      </c>
      <c r="D82" s="4">
        <v>60</v>
      </c>
      <c r="E82" s="4">
        <v>27.710843373493979</v>
      </c>
      <c r="F82" s="4">
        <v>72.289156626506028</v>
      </c>
      <c r="G82" s="4">
        <v>2.6086956521739131</v>
      </c>
      <c r="H82" s="29">
        <v>0.28705817251158611</v>
      </c>
    </row>
    <row r="83" spans="1:8" x14ac:dyDescent="0.3">
      <c r="A83" s="2"/>
      <c r="B83" s="4">
        <v>77</v>
      </c>
      <c r="C83" s="4">
        <v>30</v>
      </c>
      <c r="D83" s="4">
        <v>47</v>
      </c>
      <c r="E83" s="4">
        <v>38.961038961038973</v>
      </c>
      <c r="F83" s="4">
        <v>61.038961038961027</v>
      </c>
      <c r="G83" s="4">
        <v>1.5666666666666671</v>
      </c>
      <c r="H83" s="29">
        <v>0.26630697931797748</v>
      </c>
    </row>
    <row r="84" spans="1:8" x14ac:dyDescent="0.3">
      <c r="A84" s="2"/>
      <c r="B84" s="4">
        <v>76</v>
      </c>
      <c r="C84" s="4">
        <v>23</v>
      </c>
      <c r="D84" s="4">
        <v>53</v>
      </c>
      <c r="E84" s="4">
        <v>30.263157894736839</v>
      </c>
      <c r="F84" s="4">
        <v>69.73684210526315</v>
      </c>
      <c r="G84" s="4">
        <v>2.304347826086957</v>
      </c>
      <c r="H84" s="29">
        <v>0.26284844711904271</v>
      </c>
    </row>
    <row r="85" spans="1:8" x14ac:dyDescent="0.3">
      <c r="A85" s="2"/>
      <c r="B85" s="4">
        <v>75</v>
      </c>
      <c r="C85" s="4">
        <v>39</v>
      </c>
      <c r="D85" s="4">
        <v>36</v>
      </c>
      <c r="E85" s="4">
        <v>52</v>
      </c>
      <c r="F85" s="4">
        <v>48</v>
      </c>
      <c r="G85" s="4">
        <v>0.92307692307692313</v>
      </c>
      <c r="H85" s="29">
        <v>0.25938991492010788</v>
      </c>
    </row>
    <row r="86" spans="1:8" x14ac:dyDescent="0.3">
      <c r="A86" s="2"/>
      <c r="B86" s="4">
        <v>75</v>
      </c>
      <c r="C86" s="4">
        <v>24</v>
      </c>
      <c r="D86" s="4">
        <v>51</v>
      </c>
      <c r="E86" s="4">
        <v>32</v>
      </c>
      <c r="F86" s="4">
        <v>68</v>
      </c>
      <c r="G86" s="4">
        <v>2.125</v>
      </c>
      <c r="H86" s="29">
        <v>0.25938991492010788</v>
      </c>
    </row>
    <row r="87" spans="1:8" x14ac:dyDescent="0.3">
      <c r="A87" s="2"/>
      <c r="B87" s="4">
        <v>72</v>
      </c>
      <c r="C87" s="4">
        <v>72</v>
      </c>
      <c r="D87" s="4">
        <v>0</v>
      </c>
      <c r="E87" s="4">
        <v>100</v>
      </c>
      <c r="F87" s="4">
        <v>0</v>
      </c>
      <c r="G87" s="4">
        <v>0</v>
      </c>
      <c r="H87" s="29">
        <v>0.24901431832330359</v>
      </c>
    </row>
    <row r="88" spans="1:8" x14ac:dyDescent="0.3">
      <c r="A88" s="2"/>
      <c r="B88" s="4">
        <v>71</v>
      </c>
      <c r="C88" s="4">
        <v>23</v>
      </c>
      <c r="D88" s="4">
        <v>48</v>
      </c>
      <c r="E88" s="4">
        <v>32.394366197183103</v>
      </c>
      <c r="F88" s="4">
        <v>67.605633802816897</v>
      </c>
      <c r="G88" s="4">
        <v>2.0869565217391299</v>
      </c>
      <c r="H88" s="29">
        <v>0.24555578612436879</v>
      </c>
    </row>
    <row r="89" spans="1:8" x14ac:dyDescent="0.3">
      <c r="A89" s="2"/>
      <c r="B89" s="4">
        <v>70</v>
      </c>
      <c r="C89" s="4">
        <v>70</v>
      </c>
      <c r="D89" s="4">
        <v>0</v>
      </c>
      <c r="E89" s="4">
        <v>100</v>
      </c>
      <c r="F89" s="4">
        <v>0</v>
      </c>
      <c r="G89" s="4">
        <v>0</v>
      </c>
      <c r="H89" s="29">
        <v>0.24209725392543399</v>
      </c>
    </row>
    <row r="90" spans="1:8" x14ac:dyDescent="0.3">
      <c r="A90" s="2"/>
      <c r="B90" s="4">
        <v>70</v>
      </c>
      <c r="C90" s="4">
        <v>70</v>
      </c>
      <c r="D90" s="4">
        <v>0</v>
      </c>
      <c r="E90" s="4">
        <v>100</v>
      </c>
      <c r="F90" s="4">
        <v>0</v>
      </c>
      <c r="G90" s="4">
        <v>0</v>
      </c>
      <c r="H90" s="29">
        <v>0.24209725392543399</v>
      </c>
    </row>
    <row r="91" spans="1:8" x14ac:dyDescent="0.3">
      <c r="A91" s="2"/>
      <c r="B91" s="4">
        <v>69</v>
      </c>
      <c r="C91" s="4">
        <v>20</v>
      </c>
      <c r="D91" s="4">
        <v>49</v>
      </c>
      <c r="E91" s="4">
        <v>28.985507246376809</v>
      </c>
      <c r="F91" s="4">
        <v>71.014492753623188</v>
      </c>
      <c r="G91" s="4">
        <v>2.4500000000000002</v>
      </c>
      <c r="H91" s="29">
        <v>0.2386387217264993</v>
      </c>
    </row>
    <row r="92" spans="1:8" x14ac:dyDescent="0.3">
      <c r="A92" s="2"/>
      <c r="B92" s="4">
        <v>67</v>
      </c>
      <c r="C92" s="4">
        <v>36</v>
      </c>
      <c r="D92" s="4">
        <v>31</v>
      </c>
      <c r="E92" s="4">
        <v>53.731343283582092</v>
      </c>
      <c r="F92" s="4">
        <v>46.268656716417908</v>
      </c>
      <c r="G92" s="4">
        <v>0.86111111111111116</v>
      </c>
      <c r="H92" s="29">
        <v>0.2317216573286297</v>
      </c>
    </row>
    <row r="93" spans="1:8" x14ac:dyDescent="0.3">
      <c r="A93" s="2"/>
      <c r="B93" s="4">
        <v>66</v>
      </c>
      <c r="C93" s="4">
        <v>66</v>
      </c>
      <c r="D93" s="4">
        <v>0</v>
      </c>
      <c r="E93" s="4">
        <v>100</v>
      </c>
      <c r="F93" s="4">
        <v>0</v>
      </c>
      <c r="G93" s="4">
        <v>0</v>
      </c>
      <c r="H93" s="29">
        <v>0.22826312512969499</v>
      </c>
    </row>
    <row r="94" spans="1:8" x14ac:dyDescent="0.3">
      <c r="A94" s="2"/>
      <c r="B94" s="4">
        <v>66</v>
      </c>
      <c r="C94" s="4">
        <v>18</v>
      </c>
      <c r="D94" s="4">
        <v>48</v>
      </c>
      <c r="E94" s="4">
        <v>27.27272727272727</v>
      </c>
      <c r="F94" s="4">
        <v>72.727272727272734</v>
      </c>
      <c r="G94" s="4">
        <v>2.666666666666667</v>
      </c>
      <c r="H94" s="29">
        <v>0.22826312512969499</v>
      </c>
    </row>
    <row r="95" spans="1:8" x14ac:dyDescent="0.3">
      <c r="A95" s="2"/>
      <c r="B95" s="4">
        <v>65</v>
      </c>
      <c r="C95" s="4">
        <v>47</v>
      </c>
      <c r="D95" s="4">
        <v>18</v>
      </c>
      <c r="E95" s="4">
        <v>72.307692307692307</v>
      </c>
      <c r="F95" s="4">
        <v>27.69230769230769</v>
      </c>
      <c r="G95" s="4">
        <v>0.38297872340425532</v>
      </c>
      <c r="H95" s="29">
        <v>0.22480459293076019</v>
      </c>
    </row>
    <row r="96" spans="1:8" x14ac:dyDescent="0.3">
      <c r="A96" s="2"/>
      <c r="B96" s="4">
        <v>65</v>
      </c>
      <c r="C96" s="4">
        <v>65</v>
      </c>
      <c r="D96" s="4">
        <v>0</v>
      </c>
      <c r="E96" s="4">
        <v>100</v>
      </c>
      <c r="F96" s="4">
        <v>0</v>
      </c>
      <c r="G96" s="4">
        <v>0</v>
      </c>
      <c r="H96" s="29">
        <v>0.22480459293076019</v>
      </c>
    </row>
    <row r="97" spans="1:8" x14ac:dyDescent="0.3">
      <c r="A97" s="2"/>
      <c r="B97" s="4">
        <v>63</v>
      </c>
      <c r="C97" s="4">
        <v>27</v>
      </c>
      <c r="D97" s="4">
        <v>36</v>
      </c>
      <c r="E97" s="4">
        <v>42.857142857142847</v>
      </c>
      <c r="F97" s="4">
        <v>57.142857142857139</v>
      </c>
      <c r="G97" s="4">
        <v>1.333333333333333</v>
      </c>
      <c r="H97" s="29">
        <v>0.2178875285328907</v>
      </c>
    </row>
    <row r="98" spans="1:8" x14ac:dyDescent="0.3">
      <c r="A98" s="2"/>
      <c r="B98" s="4">
        <v>62</v>
      </c>
      <c r="C98" s="4">
        <v>35</v>
      </c>
      <c r="D98" s="4">
        <v>27</v>
      </c>
      <c r="E98" s="4">
        <v>56.451612903225808</v>
      </c>
      <c r="F98" s="4">
        <v>43.548387096774192</v>
      </c>
      <c r="G98" s="4">
        <v>0.77142857142857146</v>
      </c>
      <c r="H98" s="29">
        <v>0.21442899633395579</v>
      </c>
    </row>
    <row r="99" spans="1:8" x14ac:dyDescent="0.3">
      <c r="A99" s="2"/>
      <c r="B99" s="4">
        <v>58</v>
      </c>
      <c r="C99" s="4">
        <v>51</v>
      </c>
      <c r="D99" s="4">
        <v>7</v>
      </c>
      <c r="E99" s="4">
        <v>87.931034482758619</v>
      </c>
      <c r="F99" s="4">
        <v>12.068965517241381</v>
      </c>
      <c r="G99" s="4">
        <v>0.1372549019607843</v>
      </c>
      <c r="H99" s="29">
        <v>0.20059486753821679</v>
      </c>
    </row>
    <row r="100" spans="1:8" x14ac:dyDescent="0.3">
      <c r="A100" s="2"/>
      <c r="B100" s="4">
        <v>58</v>
      </c>
      <c r="C100" s="4">
        <v>19</v>
      </c>
      <c r="D100" s="4">
        <v>39</v>
      </c>
      <c r="E100" s="4">
        <v>32.758620689655167</v>
      </c>
      <c r="F100" s="4">
        <v>67.241379310344826</v>
      </c>
      <c r="G100" s="4">
        <v>2.052631578947369</v>
      </c>
      <c r="H100" s="29">
        <v>0.20059486753821679</v>
      </c>
    </row>
    <row r="101" spans="1:8" x14ac:dyDescent="0.3">
      <c r="A101" s="2"/>
      <c r="B101" s="4">
        <v>57</v>
      </c>
      <c r="C101" s="4">
        <v>13</v>
      </c>
      <c r="D101" s="4">
        <v>44</v>
      </c>
      <c r="E101" s="4">
        <v>22.807017543859651</v>
      </c>
      <c r="F101" s="4">
        <v>77.192982456140342</v>
      </c>
      <c r="G101" s="4">
        <v>3.384615384615385</v>
      </c>
      <c r="H101" s="29">
        <v>0.19713633533928199</v>
      </c>
    </row>
    <row r="102" spans="1:8" x14ac:dyDescent="0.3">
      <c r="A102" s="2"/>
      <c r="B102" s="4">
        <v>56</v>
      </c>
      <c r="C102" s="4">
        <v>56</v>
      </c>
      <c r="D102" s="4">
        <v>0</v>
      </c>
      <c r="E102" s="4">
        <v>100</v>
      </c>
      <c r="F102" s="4">
        <v>0</v>
      </c>
      <c r="G102" s="4">
        <v>0</v>
      </c>
      <c r="H102" s="29">
        <v>0.19367780314034719</v>
      </c>
    </row>
    <row r="103" spans="1:8" x14ac:dyDescent="0.3">
      <c r="A103" s="2"/>
      <c r="B103" s="4">
        <v>55</v>
      </c>
      <c r="C103" s="4">
        <v>55</v>
      </c>
      <c r="D103" s="4">
        <v>0</v>
      </c>
      <c r="E103" s="4">
        <v>100</v>
      </c>
      <c r="F103" s="4">
        <v>0</v>
      </c>
      <c r="G103" s="4">
        <v>0</v>
      </c>
      <c r="H103" s="29">
        <v>0.1902192709414125</v>
      </c>
    </row>
    <row r="104" spans="1:8" x14ac:dyDescent="0.3">
      <c r="A104" s="2"/>
      <c r="B104" s="4">
        <v>55</v>
      </c>
      <c r="C104" s="4">
        <v>55</v>
      </c>
      <c r="D104" s="4">
        <v>0</v>
      </c>
      <c r="E104" s="4">
        <v>100</v>
      </c>
      <c r="F104" s="4">
        <v>0</v>
      </c>
      <c r="G104" s="4">
        <v>0</v>
      </c>
      <c r="H104" s="29">
        <v>0.1902192709414125</v>
      </c>
    </row>
    <row r="105" spans="1:8" x14ac:dyDescent="0.3">
      <c r="A105" s="2"/>
      <c r="B105" s="4">
        <v>53</v>
      </c>
      <c r="C105" s="4">
        <v>41</v>
      </c>
      <c r="D105" s="4">
        <v>12</v>
      </c>
      <c r="E105" s="4">
        <v>77.358490566037744</v>
      </c>
      <c r="F105" s="4">
        <v>22.64150943396227</v>
      </c>
      <c r="G105" s="4">
        <v>0.29268292682926828</v>
      </c>
      <c r="H105" s="29">
        <v>0.1833022065435429</v>
      </c>
    </row>
    <row r="106" spans="1:8" x14ac:dyDescent="0.3">
      <c r="A106" s="2"/>
      <c r="B106" s="4">
        <v>52</v>
      </c>
      <c r="C106" s="4">
        <v>52</v>
      </c>
      <c r="D106" s="4">
        <v>0</v>
      </c>
      <c r="E106" s="4">
        <v>100</v>
      </c>
      <c r="F106" s="4">
        <v>0</v>
      </c>
      <c r="G106" s="4">
        <v>0</v>
      </c>
      <c r="H106" s="29">
        <v>0.17984367434460821</v>
      </c>
    </row>
    <row r="107" spans="1:8" x14ac:dyDescent="0.3">
      <c r="A107" s="2"/>
      <c r="B107" s="4">
        <v>51</v>
      </c>
      <c r="C107" s="4">
        <v>19</v>
      </c>
      <c r="D107" s="4">
        <v>32</v>
      </c>
      <c r="E107" s="4">
        <v>37.254901960784323</v>
      </c>
      <c r="F107" s="4">
        <v>62.745098039215677</v>
      </c>
      <c r="G107" s="4">
        <v>1.6842105263157889</v>
      </c>
      <c r="H107" s="29">
        <v>0.17638514214567341</v>
      </c>
    </row>
    <row r="108" spans="1:8" x14ac:dyDescent="0.3">
      <c r="A108" s="2"/>
      <c r="B108" s="4">
        <v>51</v>
      </c>
      <c r="C108" s="4">
        <v>23</v>
      </c>
      <c r="D108" s="4">
        <v>28</v>
      </c>
      <c r="E108" s="4">
        <v>45.098039215686278</v>
      </c>
      <c r="F108" s="4">
        <v>54.901960784313729</v>
      </c>
      <c r="G108" s="4">
        <v>1.2173913043478259</v>
      </c>
      <c r="H108" s="29">
        <v>0.17638514214567341</v>
      </c>
    </row>
    <row r="109" spans="1:8" x14ac:dyDescent="0.3">
      <c r="A109" s="2"/>
      <c r="B109" s="4">
        <v>51</v>
      </c>
      <c r="C109" s="4">
        <v>50</v>
      </c>
      <c r="D109" s="4">
        <v>1</v>
      </c>
      <c r="E109" s="4">
        <v>98.039215686274503</v>
      </c>
      <c r="F109" s="4">
        <v>1.9607843137254899</v>
      </c>
      <c r="G109" s="4">
        <v>0.02</v>
      </c>
      <c r="H109" s="29">
        <v>0.17638514214567341</v>
      </c>
    </row>
    <row r="110" spans="1:8" x14ac:dyDescent="0.3">
      <c r="A110" s="2"/>
      <c r="B110" s="4">
        <v>51</v>
      </c>
      <c r="C110" s="4">
        <v>51</v>
      </c>
      <c r="D110" s="4">
        <v>0</v>
      </c>
      <c r="E110" s="4">
        <v>100</v>
      </c>
      <c r="F110" s="4">
        <v>0</v>
      </c>
      <c r="G110" s="4">
        <v>0</v>
      </c>
      <c r="H110" s="29">
        <v>0.17638514214567341</v>
      </c>
    </row>
    <row r="111" spans="1:8" x14ac:dyDescent="0.3">
      <c r="A111" s="2"/>
      <c r="B111" s="4">
        <v>50</v>
      </c>
      <c r="C111" s="4">
        <v>50</v>
      </c>
      <c r="D111" s="4">
        <v>0</v>
      </c>
      <c r="E111" s="4">
        <v>100</v>
      </c>
      <c r="F111" s="4">
        <v>0</v>
      </c>
      <c r="G111" s="4">
        <v>0</v>
      </c>
      <c r="H111" s="29">
        <v>0.17292660994673861</v>
      </c>
    </row>
    <row r="112" spans="1:8" x14ac:dyDescent="0.3">
      <c r="A112" s="2"/>
      <c r="B112" s="4">
        <v>49</v>
      </c>
      <c r="C112" s="4">
        <v>48</v>
      </c>
      <c r="D112" s="4">
        <v>1</v>
      </c>
      <c r="E112" s="4">
        <v>97.959183673469383</v>
      </c>
      <c r="F112" s="4">
        <v>2.0408163265306118</v>
      </c>
      <c r="G112" s="4">
        <v>2.0833333333333329E-2</v>
      </c>
      <c r="H112" s="29">
        <v>0.16946807774780381</v>
      </c>
    </row>
    <row r="113" spans="1:8" x14ac:dyDescent="0.3">
      <c r="A113" s="2"/>
      <c r="B113" s="4">
        <v>49</v>
      </c>
      <c r="C113" s="4">
        <v>41</v>
      </c>
      <c r="D113" s="4">
        <v>8</v>
      </c>
      <c r="E113" s="4">
        <v>83.673469387755105</v>
      </c>
      <c r="F113" s="4">
        <v>16.326530612244898</v>
      </c>
      <c r="G113" s="4">
        <v>0.1951219512195122</v>
      </c>
      <c r="H113" s="29">
        <v>0.16946807774780381</v>
      </c>
    </row>
    <row r="114" spans="1:8" x14ac:dyDescent="0.3">
      <c r="A114" s="2"/>
      <c r="B114" s="4">
        <v>49</v>
      </c>
      <c r="C114" s="4">
        <v>38</v>
      </c>
      <c r="D114" s="4">
        <v>11</v>
      </c>
      <c r="E114" s="4">
        <v>77.551020408163268</v>
      </c>
      <c r="F114" s="4">
        <v>22.448979591836739</v>
      </c>
      <c r="G114" s="4">
        <v>0.28947368421052633</v>
      </c>
      <c r="H114" s="29">
        <v>0.16946807774780381</v>
      </c>
    </row>
    <row r="115" spans="1:8" x14ac:dyDescent="0.3">
      <c r="A115" s="2"/>
      <c r="B115" s="4">
        <v>48</v>
      </c>
      <c r="C115" s="4">
        <v>48</v>
      </c>
      <c r="D115" s="4">
        <v>0</v>
      </c>
      <c r="E115" s="4">
        <v>100</v>
      </c>
      <c r="F115" s="4">
        <v>0</v>
      </c>
      <c r="G115" s="4">
        <v>0</v>
      </c>
      <c r="H115" s="29">
        <v>0.1660095455488691</v>
      </c>
    </row>
    <row r="116" spans="1:8" x14ac:dyDescent="0.3">
      <c r="A116" s="2"/>
      <c r="B116" s="4">
        <v>47</v>
      </c>
      <c r="C116" s="4">
        <v>37</v>
      </c>
      <c r="D116" s="4">
        <v>10</v>
      </c>
      <c r="E116" s="4">
        <v>78.723404255319153</v>
      </c>
      <c r="F116" s="4">
        <v>21.276595744680851</v>
      </c>
      <c r="G116" s="4">
        <v>0.27027027027027029</v>
      </c>
      <c r="H116" s="29">
        <v>0.1625510133499343</v>
      </c>
    </row>
    <row r="117" spans="1:8" x14ac:dyDescent="0.3">
      <c r="A117" s="2"/>
      <c r="B117" s="4">
        <v>46</v>
      </c>
      <c r="C117" s="4">
        <v>24</v>
      </c>
      <c r="D117" s="4">
        <v>22</v>
      </c>
      <c r="E117" s="4">
        <v>52.173913043478258</v>
      </c>
      <c r="F117" s="4">
        <v>47.826086956521742</v>
      </c>
      <c r="G117" s="4">
        <v>0.91666666666666663</v>
      </c>
      <c r="H117" s="29">
        <v>0.1590924811509995</v>
      </c>
    </row>
    <row r="118" spans="1:8" x14ac:dyDescent="0.3">
      <c r="A118" s="2"/>
      <c r="B118" s="4">
        <v>45</v>
      </c>
      <c r="C118" s="4">
        <v>45</v>
      </c>
      <c r="D118" s="4">
        <v>0</v>
      </c>
      <c r="E118" s="4">
        <v>100</v>
      </c>
      <c r="F118" s="4">
        <v>0</v>
      </c>
      <c r="G118" s="4">
        <v>0</v>
      </c>
      <c r="H118" s="29">
        <v>0.15563394895206481</v>
      </c>
    </row>
    <row r="119" spans="1:8" x14ac:dyDescent="0.3">
      <c r="A119" s="2"/>
      <c r="B119" s="4">
        <v>45</v>
      </c>
      <c r="C119" s="4">
        <v>45</v>
      </c>
      <c r="D119" s="4">
        <v>0</v>
      </c>
      <c r="E119" s="4">
        <v>100</v>
      </c>
      <c r="F119" s="4">
        <v>0</v>
      </c>
      <c r="G119" s="4">
        <v>0</v>
      </c>
      <c r="H119" s="29">
        <v>0.15563394895206481</v>
      </c>
    </row>
    <row r="120" spans="1:8" x14ac:dyDescent="0.3">
      <c r="A120" s="2"/>
      <c r="B120" s="4">
        <v>44</v>
      </c>
      <c r="C120" s="4">
        <v>44</v>
      </c>
      <c r="D120" s="4">
        <v>0</v>
      </c>
      <c r="E120" s="4">
        <v>100</v>
      </c>
      <c r="F120" s="4">
        <v>0</v>
      </c>
      <c r="G120" s="4">
        <v>0</v>
      </c>
      <c r="H120" s="29">
        <v>0.15217541675313001</v>
      </c>
    </row>
    <row r="121" spans="1:8" x14ac:dyDescent="0.3">
      <c r="A121" s="2"/>
      <c r="B121" s="4">
        <v>42</v>
      </c>
      <c r="C121" s="4">
        <v>28</v>
      </c>
      <c r="D121" s="4">
        <v>14</v>
      </c>
      <c r="E121" s="4">
        <v>66.666666666666657</v>
      </c>
      <c r="F121" s="4">
        <v>33.333333333333329</v>
      </c>
      <c r="G121" s="4">
        <v>0.5</v>
      </c>
      <c r="H121" s="29">
        <v>0.14525835235526041</v>
      </c>
    </row>
    <row r="122" spans="1:8" x14ac:dyDescent="0.3">
      <c r="A122" s="2"/>
      <c r="B122" s="4">
        <v>42</v>
      </c>
      <c r="C122" s="4">
        <v>30</v>
      </c>
      <c r="D122" s="4">
        <v>12</v>
      </c>
      <c r="E122" s="4">
        <v>71.428571428571431</v>
      </c>
      <c r="F122" s="4">
        <v>28.571428571428569</v>
      </c>
      <c r="G122" s="4">
        <v>0.4</v>
      </c>
      <c r="H122" s="29">
        <v>0.14525835235526041</v>
      </c>
    </row>
    <row r="123" spans="1:8" x14ac:dyDescent="0.3">
      <c r="A123" s="2"/>
      <c r="B123" s="4">
        <v>42</v>
      </c>
      <c r="C123" s="4">
        <v>31</v>
      </c>
      <c r="D123" s="4">
        <v>11</v>
      </c>
      <c r="E123" s="4">
        <v>73.80952380952381</v>
      </c>
      <c r="F123" s="4">
        <v>26.19047619047619</v>
      </c>
      <c r="G123" s="4">
        <v>0.35483870967741937</v>
      </c>
      <c r="H123" s="29">
        <v>0.14525835235526041</v>
      </c>
    </row>
    <row r="124" spans="1:8" x14ac:dyDescent="0.3">
      <c r="A124" s="2"/>
      <c r="B124" s="4">
        <v>42</v>
      </c>
      <c r="C124" s="4">
        <v>42</v>
      </c>
      <c r="D124" s="4">
        <v>0</v>
      </c>
      <c r="E124" s="4">
        <v>100</v>
      </c>
      <c r="F124" s="4">
        <v>0</v>
      </c>
      <c r="G124" s="4">
        <v>0</v>
      </c>
      <c r="H124" s="29">
        <v>0.14525835235526041</v>
      </c>
    </row>
    <row r="125" spans="1:8" x14ac:dyDescent="0.3">
      <c r="A125" s="2"/>
      <c r="B125" s="4">
        <v>41</v>
      </c>
      <c r="C125" s="4">
        <v>27</v>
      </c>
      <c r="D125" s="4">
        <v>14</v>
      </c>
      <c r="E125" s="4">
        <v>65.853658536585371</v>
      </c>
      <c r="F125" s="4">
        <v>34.146341463414643</v>
      </c>
      <c r="G125" s="4">
        <v>0.51851851851851849</v>
      </c>
      <c r="H125" s="29">
        <v>0.14179982015632561</v>
      </c>
    </row>
    <row r="126" spans="1:8" x14ac:dyDescent="0.3">
      <c r="A126" s="2"/>
      <c r="B126" s="4">
        <v>40</v>
      </c>
      <c r="C126" s="4">
        <v>8</v>
      </c>
      <c r="D126" s="4">
        <v>32</v>
      </c>
      <c r="E126" s="4">
        <v>20</v>
      </c>
      <c r="F126" s="4">
        <v>80</v>
      </c>
      <c r="G126" s="4">
        <v>4</v>
      </c>
      <c r="H126" s="29">
        <v>0.1383412879573909</v>
      </c>
    </row>
    <row r="127" spans="1:8" x14ac:dyDescent="0.3">
      <c r="A127" s="2"/>
      <c r="B127" s="4">
        <v>40</v>
      </c>
      <c r="C127" s="4">
        <v>12</v>
      </c>
      <c r="D127" s="4">
        <v>28</v>
      </c>
      <c r="E127" s="4">
        <v>30</v>
      </c>
      <c r="F127" s="4">
        <v>70</v>
      </c>
      <c r="G127" s="4">
        <v>2.333333333333333</v>
      </c>
      <c r="H127" s="29">
        <v>0.1383412879573909</v>
      </c>
    </row>
    <row r="128" spans="1:8" x14ac:dyDescent="0.3">
      <c r="A128" s="2"/>
      <c r="B128" s="4">
        <v>40</v>
      </c>
      <c r="C128" s="4">
        <v>10</v>
      </c>
      <c r="D128" s="4">
        <v>30</v>
      </c>
      <c r="E128" s="4">
        <v>25</v>
      </c>
      <c r="F128" s="4">
        <v>75</v>
      </c>
      <c r="G128" s="4">
        <v>3</v>
      </c>
      <c r="H128" s="29">
        <v>0.1383412879573909</v>
      </c>
    </row>
    <row r="129" spans="1:8" x14ac:dyDescent="0.3">
      <c r="A129" s="2"/>
      <c r="B129" s="4">
        <v>40</v>
      </c>
      <c r="C129" s="4">
        <v>21</v>
      </c>
      <c r="D129" s="4">
        <v>19</v>
      </c>
      <c r="E129" s="4">
        <v>52.5</v>
      </c>
      <c r="F129" s="4">
        <v>47.5</v>
      </c>
      <c r="G129" s="4">
        <v>0.90476190476190477</v>
      </c>
      <c r="H129" s="29">
        <v>0.1383412879573909</v>
      </c>
    </row>
    <row r="130" spans="1:8" x14ac:dyDescent="0.3">
      <c r="A130" s="2"/>
      <c r="B130" s="4">
        <v>39</v>
      </c>
      <c r="C130" s="4">
        <v>39</v>
      </c>
      <c r="D130" s="4">
        <v>0</v>
      </c>
      <c r="E130" s="4">
        <v>100</v>
      </c>
      <c r="F130" s="4">
        <v>0</v>
      </c>
      <c r="G130" s="4">
        <v>0</v>
      </c>
      <c r="H130" s="29">
        <v>0.1348827557584561</v>
      </c>
    </row>
    <row r="131" spans="1:8" x14ac:dyDescent="0.3">
      <c r="A131" s="2"/>
      <c r="B131" s="4">
        <v>39</v>
      </c>
      <c r="C131" s="4">
        <v>13</v>
      </c>
      <c r="D131" s="4">
        <v>26</v>
      </c>
      <c r="E131" s="4">
        <v>33.333333333333329</v>
      </c>
      <c r="F131" s="4">
        <v>66.666666666666657</v>
      </c>
      <c r="G131" s="4">
        <v>2</v>
      </c>
      <c r="H131" s="29">
        <v>0.1348827557584561</v>
      </c>
    </row>
    <row r="132" spans="1:8" x14ac:dyDescent="0.3">
      <c r="A132" s="2"/>
      <c r="B132" s="4">
        <v>38</v>
      </c>
      <c r="C132" s="4">
        <v>30</v>
      </c>
      <c r="D132" s="4">
        <v>8</v>
      </c>
      <c r="E132" s="4">
        <v>78.94736842105263</v>
      </c>
      <c r="F132" s="4">
        <v>21.05263157894737</v>
      </c>
      <c r="G132" s="4">
        <v>0.26666666666666672</v>
      </c>
      <c r="H132" s="29">
        <v>0.13142422355952141</v>
      </c>
    </row>
    <row r="133" spans="1:8" x14ac:dyDescent="0.3">
      <c r="A133" s="2"/>
      <c r="B133" s="4">
        <v>38</v>
      </c>
      <c r="C133" s="4">
        <v>38</v>
      </c>
      <c r="D133" s="4">
        <v>0</v>
      </c>
      <c r="E133" s="4">
        <v>100</v>
      </c>
      <c r="F133" s="4">
        <v>0</v>
      </c>
      <c r="G133" s="4">
        <v>0</v>
      </c>
      <c r="H133" s="29">
        <v>0.13142422355952141</v>
      </c>
    </row>
    <row r="134" spans="1:8" x14ac:dyDescent="0.3">
      <c r="A134" s="2"/>
      <c r="B134" s="4">
        <v>38</v>
      </c>
      <c r="C134" s="4">
        <v>38</v>
      </c>
      <c r="D134" s="4">
        <v>0</v>
      </c>
      <c r="E134" s="4">
        <v>100</v>
      </c>
      <c r="F134" s="4">
        <v>0</v>
      </c>
      <c r="G134" s="4">
        <v>0</v>
      </c>
      <c r="H134" s="29">
        <v>0.13142422355952141</v>
      </c>
    </row>
    <row r="135" spans="1:8" x14ac:dyDescent="0.3">
      <c r="A135" s="2"/>
      <c r="B135" s="4">
        <v>36</v>
      </c>
      <c r="C135" s="4">
        <v>16</v>
      </c>
      <c r="D135" s="4">
        <v>20</v>
      </c>
      <c r="E135" s="4">
        <v>44.444444444444443</v>
      </c>
      <c r="F135" s="4">
        <v>55.555555555555557</v>
      </c>
      <c r="G135" s="4">
        <v>1.25</v>
      </c>
      <c r="H135" s="29">
        <v>0.1245071591616518</v>
      </c>
    </row>
    <row r="136" spans="1:8" x14ac:dyDescent="0.3">
      <c r="A136" s="2"/>
      <c r="B136" s="4">
        <v>36</v>
      </c>
      <c r="C136" s="4">
        <v>11</v>
      </c>
      <c r="D136" s="4">
        <v>25</v>
      </c>
      <c r="E136" s="4">
        <v>30.555555555555561</v>
      </c>
      <c r="F136" s="4">
        <v>69.444444444444443</v>
      </c>
      <c r="G136" s="4">
        <v>2.2727272727272729</v>
      </c>
      <c r="H136" s="29">
        <v>0.1245071591616518</v>
      </c>
    </row>
    <row r="137" spans="1:8" x14ac:dyDescent="0.3">
      <c r="A137" s="2"/>
      <c r="B137" s="4">
        <v>36</v>
      </c>
      <c r="C137" s="4">
        <v>32</v>
      </c>
      <c r="D137" s="4">
        <v>4</v>
      </c>
      <c r="E137" s="4">
        <v>88.888888888888886</v>
      </c>
      <c r="F137" s="4">
        <v>11.111111111111111</v>
      </c>
      <c r="G137" s="4">
        <v>0.125</v>
      </c>
      <c r="H137" s="29">
        <v>0.1245071591616518</v>
      </c>
    </row>
    <row r="138" spans="1:8" x14ac:dyDescent="0.3">
      <c r="A138" s="2"/>
      <c r="B138" s="4">
        <v>36</v>
      </c>
      <c r="C138" s="4">
        <v>34</v>
      </c>
      <c r="D138" s="4">
        <v>2</v>
      </c>
      <c r="E138" s="4">
        <v>94.444444444444443</v>
      </c>
      <c r="F138" s="4">
        <v>5.5555555555555554</v>
      </c>
      <c r="G138" s="4">
        <v>5.8823529411764712E-2</v>
      </c>
      <c r="H138" s="29">
        <v>0.1245071591616518</v>
      </c>
    </row>
    <row r="139" spans="1:8" x14ac:dyDescent="0.3">
      <c r="A139" s="2"/>
      <c r="B139" s="4">
        <v>36</v>
      </c>
      <c r="C139" s="4">
        <v>18</v>
      </c>
      <c r="D139" s="4">
        <v>18</v>
      </c>
      <c r="E139" s="4">
        <v>50</v>
      </c>
      <c r="F139" s="4">
        <v>50</v>
      </c>
      <c r="G139" s="4">
        <v>1</v>
      </c>
      <c r="H139" s="29">
        <v>0.1245071591616518</v>
      </c>
    </row>
    <row r="140" spans="1:8" x14ac:dyDescent="0.3">
      <c r="A140" s="2"/>
      <c r="B140" s="4">
        <v>36</v>
      </c>
      <c r="C140" s="4">
        <v>31</v>
      </c>
      <c r="D140" s="4">
        <v>5</v>
      </c>
      <c r="E140" s="4">
        <v>86.111111111111114</v>
      </c>
      <c r="F140" s="4">
        <v>13.888888888888889</v>
      </c>
      <c r="G140" s="4">
        <v>0.16129032258064521</v>
      </c>
      <c r="H140" s="29">
        <v>0.1245071591616518</v>
      </c>
    </row>
    <row r="141" spans="1:8" x14ac:dyDescent="0.3">
      <c r="A141" s="2"/>
      <c r="B141" s="4">
        <v>35</v>
      </c>
      <c r="C141" s="4">
        <v>17</v>
      </c>
      <c r="D141" s="4">
        <v>18</v>
      </c>
      <c r="E141" s="4">
        <v>48.571428571428569</v>
      </c>
      <c r="F141" s="4">
        <v>51.428571428571423</v>
      </c>
      <c r="G141" s="4">
        <v>1.0588235294117649</v>
      </c>
      <c r="H141" s="29">
        <v>0.121048626962717</v>
      </c>
    </row>
    <row r="142" spans="1:8" x14ac:dyDescent="0.3">
      <c r="A142" s="2"/>
      <c r="B142" s="4">
        <v>34</v>
      </c>
      <c r="C142" s="4">
        <v>33</v>
      </c>
      <c r="D142" s="4">
        <v>1</v>
      </c>
      <c r="E142" s="4">
        <v>97.058823529411768</v>
      </c>
      <c r="F142" s="4">
        <v>2.9411764705882351</v>
      </c>
      <c r="G142" s="4">
        <v>3.03030303030303E-2</v>
      </c>
      <c r="H142" s="29">
        <v>0.11759009476378229</v>
      </c>
    </row>
    <row r="143" spans="1:8" x14ac:dyDescent="0.3">
      <c r="A143" s="2"/>
      <c r="B143" s="4">
        <v>33</v>
      </c>
      <c r="C143" s="4">
        <v>23</v>
      </c>
      <c r="D143" s="4">
        <v>10</v>
      </c>
      <c r="E143" s="4">
        <v>69.696969696969703</v>
      </c>
      <c r="F143" s="4">
        <v>30.303030303030301</v>
      </c>
      <c r="G143" s="4">
        <v>0.43478260869565222</v>
      </c>
      <c r="H143" s="29">
        <v>0.11413156256484749</v>
      </c>
    </row>
    <row r="144" spans="1:8" x14ac:dyDescent="0.3">
      <c r="A144" s="2"/>
      <c r="B144" s="4">
        <v>33</v>
      </c>
      <c r="C144" s="4">
        <v>13</v>
      </c>
      <c r="D144" s="4">
        <v>20</v>
      </c>
      <c r="E144" s="4">
        <v>39.393939393939391</v>
      </c>
      <c r="F144" s="4">
        <v>60.606060606060609</v>
      </c>
      <c r="G144" s="4">
        <v>1.538461538461539</v>
      </c>
      <c r="H144" s="29">
        <v>0.11413156256484749</v>
      </c>
    </row>
    <row r="145" spans="1:8" x14ac:dyDescent="0.3">
      <c r="A145" s="2"/>
      <c r="B145" s="4">
        <v>33</v>
      </c>
      <c r="C145" s="4">
        <v>22</v>
      </c>
      <c r="D145" s="4">
        <v>11</v>
      </c>
      <c r="E145" s="4">
        <v>66.666666666666657</v>
      </c>
      <c r="F145" s="4">
        <v>33.333333333333329</v>
      </c>
      <c r="G145" s="4">
        <v>0.5</v>
      </c>
      <c r="H145" s="29">
        <v>0.11413156256484749</v>
      </c>
    </row>
    <row r="146" spans="1:8" x14ac:dyDescent="0.3">
      <c r="A146" s="2"/>
      <c r="B146" s="4">
        <v>32</v>
      </c>
      <c r="C146" s="4">
        <v>10</v>
      </c>
      <c r="D146" s="4">
        <v>22</v>
      </c>
      <c r="E146" s="4">
        <v>31.25</v>
      </c>
      <c r="F146" s="4">
        <v>68.75</v>
      </c>
      <c r="G146" s="4">
        <v>2.2000000000000002</v>
      </c>
      <c r="H146" s="29">
        <v>0.11067303036591269</v>
      </c>
    </row>
    <row r="147" spans="1:8" x14ac:dyDescent="0.3">
      <c r="A147" s="2"/>
      <c r="B147" s="4">
        <v>32</v>
      </c>
      <c r="C147" s="4">
        <v>23</v>
      </c>
      <c r="D147" s="4">
        <v>9</v>
      </c>
      <c r="E147" s="4">
        <v>71.875</v>
      </c>
      <c r="F147" s="4">
        <v>28.125</v>
      </c>
      <c r="G147" s="4">
        <v>0.39130434782608697</v>
      </c>
      <c r="H147" s="29">
        <v>0.11067303036591269</v>
      </c>
    </row>
    <row r="148" spans="1:8" x14ac:dyDescent="0.3">
      <c r="A148" s="2"/>
      <c r="B148" s="4">
        <v>32</v>
      </c>
      <c r="C148" s="4">
        <v>32</v>
      </c>
      <c r="D148" s="4">
        <v>0</v>
      </c>
      <c r="E148" s="4">
        <v>100</v>
      </c>
      <c r="F148" s="4">
        <v>0</v>
      </c>
      <c r="G148" s="4">
        <v>0</v>
      </c>
      <c r="H148" s="29">
        <v>0.11067303036591269</v>
      </c>
    </row>
    <row r="149" spans="1:8" x14ac:dyDescent="0.3">
      <c r="A149" s="2"/>
      <c r="B149" s="4">
        <v>32</v>
      </c>
      <c r="C149" s="4">
        <v>8</v>
      </c>
      <c r="D149" s="4">
        <v>24</v>
      </c>
      <c r="E149" s="4">
        <v>25</v>
      </c>
      <c r="F149" s="4">
        <v>75</v>
      </c>
      <c r="G149" s="4">
        <v>3</v>
      </c>
      <c r="H149" s="29">
        <v>0.11067303036591269</v>
      </c>
    </row>
    <row r="150" spans="1:8" x14ac:dyDescent="0.3">
      <c r="A150" s="2"/>
      <c r="B150" s="4">
        <v>32</v>
      </c>
      <c r="C150" s="4">
        <v>21</v>
      </c>
      <c r="D150" s="4">
        <v>11</v>
      </c>
      <c r="E150" s="4">
        <v>65.625</v>
      </c>
      <c r="F150" s="4">
        <v>34.375</v>
      </c>
      <c r="G150" s="4">
        <v>0.52380952380952384</v>
      </c>
      <c r="H150" s="29">
        <v>0.11067303036591269</v>
      </c>
    </row>
    <row r="151" spans="1:8" x14ac:dyDescent="0.3">
      <c r="A151" s="2"/>
      <c r="B151" s="4">
        <v>31</v>
      </c>
      <c r="C151" s="4">
        <v>31</v>
      </c>
      <c r="D151" s="4">
        <v>0</v>
      </c>
      <c r="E151" s="4">
        <v>100</v>
      </c>
      <c r="F151" s="4">
        <v>0</v>
      </c>
      <c r="G151" s="4">
        <v>0</v>
      </c>
      <c r="H151" s="29">
        <v>0.1072144981669779</v>
      </c>
    </row>
    <row r="152" spans="1:8" x14ac:dyDescent="0.3">
      <c r="A152" s="2"/>
      <c r="B152" s="4">
        <v>31</v>
      </c>
      <c r="C152" s="4">
        <v>11</v>
      </c>
      <c r="D152" s="4">
        <v>20</v>
      </c>
      <c r="E152" s="4">
        <v>35.483870967741943</v>
      </c>
      <c r="F152" s="4">
        <v>64.516129032258064</v>
      </c>
      <c r="G152" s="4">
        <v>1.8181818181818179</v>
      </c>
      <c r="H152" s="29">
        <v>0.1072144981669779</v>
      </c>
    </row>
    <row r="153" spans="1:8" x14ac:dyDescent="0.3">
      <c r="A153" s="2"/>
      <c r="B153" s="4">
        <v>31</v>
      </c>
      <c r="C153" s="4">
        <v>31</v>
      </c>
      <c r="D153" s="4">
        <v>0</v>
      </c>
      <c r="E153" s="4">
        <v>100</v>
      </c>
      <c r="F153" s="4">
        <v>0</v>
      </c>
      <c r="G153" s="4">
        <v>0</v>
      </c>
      <c r="H153" s="29">
        <v>0.1072144981669779</v>
      </c>
    </row>
    <row r="154" spans="1:8" x14ac:dyDescent="0.3">
      <c r="A154" s="2"/>
      <c r="B154" s="4">
        <v>30</v>
      </c>
      <c r="C154" s="4">
        <v>12</v>
      </c>
      <c r="D154" s="4">
        <v>18</v>
      </c>
      <c r="E154" s="4">
        <v>40</v>
      </c>
      <c r="F154" s="4">
        <v>60</v>
      </c>
      <c r="G154" s="4">
        <v>1.5</v>
      </c>
      <c r="H154" s="29">
        <v>0.10375596596804321</v>
      </c>
    </row>
    <row r="155" spans="1:8" x14ac:dyDescent="0.3">
      <c r="A155" s="2"/>
      <c r="B155" s="4">
        <v>30</v>
      </c>
      <c r="C155" s="4">
        <v>30</v>
      </c>
      <c r="D155" s="4">
        <v>0</v>
      </c>
      <c r="E155" s="4">
        <v>100</v>
      </c>
      <c r="F155" s="4">
        <v>0</v>
      </c>
      <c r="G155" s="4">
        <v>0</v>
      </c>
      <c r="H155" s="29">
        <v>0.10375596596804321</v>
      </c>
    </row>
    <row r="156" spans="1:8" x14ac:dyDescent="0.3">
      <c r="A156" s="2"/>
      <c r="B156" s="4">
        <v>29</v>
      </c>
      <c r="C156" s="4">
        <v>29</v>
      </c>
      <c r="D156" s="4">
        <v>0</v>
      </c>
      <c r="E156" s="4">
        <v>100</v>
      </c>
      <c r="F156" s="4">
        <v>0</v>
      </c>
      <c r="G156" s="4">
        <v>0</v>
      </c>
      <c r="H156" s="29">
        <v>0.10029743376910839</v>
      </c>
    </row>
    <row r="157" spans="1:8" x14ac:dyDescent="0.3">
      <c r="A157" s="2"/>
      <c r="B157" s="4">
        <v>29</v>
      </c>
      <c r="C157" s="4">
        <v>13</v>
      </c>
      <c r="D157" s="4">
        <v>16</v>
      </c>
      <c r="E157" s="4">
        <v>44.827586206896562</v>
      </c>
      <c r="F157" s="4">
        <v>55.172413793103438</v>
      </c>
      <c r="G157" s="4">
        <v>1.2307692307692311</v>
      </c>
      <c r="H157" s="29">
        <v>0.10029743376910839</v>
      </c>
    </row>
    <row r="158" spans="1:8" x14ac:dyDescent="0.3">
      <c r="A158" s="2"/>
      <c r="B158" s="4">
        <v>29</v>
      </c>
      <c r="C158" s="4">
        <v>25</v>
      </c>
      <c r="D158" s="4">
        <v>4</v>
      </c>
      <c r="E158" s="4">
        <v>86.206896551724128</v>
      </c>
      <c r="F158" s="4">
        <v>13.793103448275859</v>
      </c>
      <c r="G158" s="4">
        <v>0.16</v>
      </c>
      <c r="H158" s="29">
        <v>0.10029743376910839</v>
      </c>
    </row>
    <row r="159" spans="1:8" x14ac:dyDescent="0.3">
      <c r="A159" s="2"/>
      <c r="B159" s="4">
        <v>29</v>
      </c>
      <c r="C159" s="4">
        <v>6</v>
      </c>
      <c r="D159" s="4">
        <v>23</v>
      </c>
      <c r="E159" s="4">
        <v>20.68965517241379</v>
      </c>
      <c r="F159" s="4">
        <v>79.310344827586206</v>
      </c>
      <c r="G159" s="4">
        <v>3.833333333333333</v>
      </c>
      <c r="H159" s="29">
        <v>0.10029743376910839</v>
      </c>
    </row>
    <row r="160" spans="1:8" x14ac:dyDescent="0.3">
      <c r="A160" s="2"/>
      <c r="B160" s="4">
        <v>28</v>
      </c>
      <c r="C160" s="4">
        <v>28</v>
      </c>
      <c r="D160" s="4">
        <v>0</v>
      </c>
      <c r="E160" s="4">
        <v>100</v>
      </c>
      <c r="F160" s="4">
        <v>0</v>
      </c>
      <c r="G160" s="4">
        <v>0</v>
      </c>
      <c r="H160" s="29">
        <v>9.6838901570173622E-2</v>
      </c>
    </row>
    <row r="161" spans="1:8" x14ac:dyDescent="0.3">
      <c r="A161" s="2"/>
      <c r="B161" s="4">
        <v>28</v>
      </c>
      <c r="C161" s="4">
        <v>9</v>
      </c>
      <c r="D161" s="4">
        <v>19</v>
      </c>
      <c r="E161" s="4">
        <v>32.142857142857153</v>
      </c>
      <c r="F161" s="4">
        <v>67.857142857142861</v>
      </c>
      <c r="G161" s="4">
        <v>2.1111111111111112</v>
      </c>
      <c r="H161" s="29">
        <v>9.6838901570173622E-2</v>
      </c>
    </row>
    <row r="162" spans="1:8" x14ac:dyDescent="0.3">
      <c r="A162" s="2"/>
      <c r="B162" s="4">
        <v>27</v>
      </c>
      <c r="C162" s="4">
        <v>19</v>
      </c>
      <c r="D162" s="4">
        <v>8</v>
      </c>
      <c r="E162" s="4">
        <v>70.370370370370367</v>
      </c>
      <c r="F162" s="4">
        <v>29.62962962962963</v>
      </c>
      <c r="G162" s="4">
        <v>0.42105263157894729</v>
      </c>
      <c r="H162" s="29">
        <v>9.338036937123885E-2</v>
      </c>
    </row>
    <row r="163" spans="1:8" x14ac:dyDescent="0.3">
      <c r="A163" s="2"/>
      <c r="B163" s="4">
        <v>27</v>
      </c>
      <c r="C163" s="4">
        <v>27</v>
      </c>
      <c r="D163" s="4">
        <v>0</v>
      </c>
      <c r="E163" s="4">
        <v>100</v>
      </c>
      <c r="F163" s="4">
        <v>0</v>
      </c>
      <c r="G163" s="4">
        <v>0</v>
      </c>
      <c r="H163" s="29">
        <v>9.338036937123885E-2</v>
      </c>
    </row>
    <row r="164" spans="1:8" x14ac:dyDescent="0.3">
      <c r="A164" s="2"/>
      <c r="B164" s="4">
        <v>27</v>
      </c>
      <c r="C164" s="4">
        <v>25</v>
      </c>
      <c r="D164" s="4">
        <v>2</v>
      </c>
      <c r="E164" s="4">
        <v>92.592592592592595</v>
      </c>
      <c r="F164" s="4">
        <v>7.4074074074074074</v>
      </c>
      <c r="G164" s="4">
        <v>0.08</v>
      </c>
      <c r="H164" s="29">
        <v>9.338036937123885E-2</v>
      </c>
    </row>
    <row r="165" spans="1:8" x14ac:dyDescent="0.3">
      <c r="A165" s="2"/>
      <c r="B165" s="4">
        <v>26</v>
      </c>
      <c r="C165" s="4">
        <v>26</v>
      </c>
      <c r="D165" s="4">
        <v>0</v>
      </c>
      <c r="E165" s="4">
        <v>100</v>
      </c>
      <c r="F165" s="4">
        <v>0</v>
      </c>
      <c r="G165" s="4">
        <v>0</v>
      </c>
      <c r="H165" s="29">
        <v>8.9921837172304078E-2</v>
      </c>
    </row>
    <row r="166" spans="1:8" x14ac:dyDescent="0.3">
      <c r="A166" s="2"/>
      <c r="B166" s="4">
        <v>26</v>
      </c>
      <c r="C166" s="4">
        <v>20</v>
      </c>
      <c r="D166" s="4">
        <v>6</v>
      </c>
      <c r="E166" s="4">
        <v>76.923076923076934</v>
      </c>
      <c r="F166" s="4">
        <v>23.07692307692308</v>
      </c>
      <c r="G166" s="4">
        <v>0.3</v>
      </c>
      <c r="H166" s="29">
        <v>8.9921837172304078E-2</v>
      </c>
    </row>
    <row r="167" spans="1:8" x14ac:dyDescent="0.3">
      <c r="A167" s="2"/>
      <c r="B167" s="4">
        <v>25</v>
      </c>
      <c r="C167" s="4">
        <v>17</v>
      </c>
      <c r="D167" s="4">
        <v>8</v>
      </c>
      <c r="E167" s="4">
        <v>68</v>
      </c>
      <c r="F167" s="4">
        <v>32</v>
      </c>
      <c r="G167" s="4">
        <v>0.47058823529411759</v>
      </c>
      <c r="H167" s="29">
        <v>8.6463304973369307E-2</v>
      </c>
    </row>
    <row r="168" spans="1:8" x14ac:dyDescent="0.3">
      <c r="A168" s="2"/>
      <c r="B168" s="4">
        <v>25</v>
      </c>
      <c r="C168" s="4">
        <v>7</v>
      </c>
      <c r="D168" s="4">
        <v>18</v>
      </c>
      <c r="E168" s="4">
        <v>28</v>
      </c>
      <c r="F168" s="4">
        <v>72</v>
      </c>
      <c r="G168" s="4">
        <v>2.5714285714285721</v>
      </c>
      <c r="H168" s="29">
        <v>8.6463304973369307E-2</v>
      </c>
    </row>
    <row r="169" spans="1:8" x14ac:dyDescent="0.3">
      <c r="A169" s="2"/>
      <c r="B169" s="4">
        <v>24</v>
      </c>
      <c r="C169" s="4">
        <v>6</v>
      </c>
      <c r="D169" s="4">
        <v>18</v>
      </c>
      <c r="E169" s="4">
        <v>25</v>
      </c>
      <c r="F169" s="4">
        <v>75</v>
      </c>
      <c r="G169" s="4">
        <v>3</v>
      </c>
      <c r="H169" s="29">
        <v>8.3004772774434535E-2</v>
      </c>
    </row>
    <row r="170" spans="1:8" x14ac:dyDescent="0.3">
      <c r="A170" s="2"/>
      <c r="B170" s="4">
        <v>24</v>
      </c>
      <c r="C170" s="4">
        <v>24</v>
      </c>
      <c r="D170" s="4">
        <v>0</v>
      </c>
      <c r="E170" s="4">
        <v>100</v>
      </c>
      <c r="F170" s="4">
        <v>0</v>
      </c>
      <c r="G170" s="4">
        <v>0</v>
      </c>
      <c r="H170" s="29">
        <v>8.3004772774434535E-2</v>
      </c>
    </row>
    <row r="171" spans="1:8" x14ac:dyDescent="0.3">
      <c r="A171" s="2"/>
      <c r="B171" s="4">
        <v>23</v>
      </c>
      <c r="C171" s="4">
        <v>13</v>
      </c>
      <c r="D171" s="4">
        <v>10</v>
      </c>
      <c r="E171" s="4">
        <v>56.521739130434781</v>
      </c>
      <c r="F171" s="4">
        <v>43.478260869565219</v>
      </c>
      <c r="G171" s="4">
        <v>0.76923076923076927</v>
      </c>
      <c r="H171" s="29">
        <v>7.9546240575499749E-2</v>
      </c>
    </row>
    <row r="172" spans="1:8" x14ac:dyDescent="0.3">
      <c r="A172" s="2"/>
      <c r="B172" s="4">
        <v>23</v>
      </c>
      <c r="C172" s="4">
        <v>23</v>
      </c>
      <c r="D172" s="4">
        <v>0</v>
      </c>
      <c r="E172" s="4">
        <v>100</v>
      </c>
      <c r="F172" s="4">
        <v>0</v>
      </c>
      <c r="G172" s="4">
        <v>0</v>
      </c>
      <c r="H172" s="29">
        <v>7.9546240575499749E-2</v>
      </c>
    </row>
    <row r="173" spans="1:8" x14ac:dyDescent="0.3">
      <c r="A173" s="2"/>
      <c r="B173" s="4">
        <v>23</v>
      </c>
      <c r="C173" s="4">
        <v>20</v>
      </c>
      <c r="D173" s="4">
        <v>3</v>
      </c>
      <c r="E173" s="4">
        <v>86.956521739130437</v>
      </c>
      <c r="F173" s="4">
        <v>13.043478260869559</v>
      </c>
      <c r="G173" s="4">
        <v>0.15</v>
      </c>
      <c r="H173" s="29">
        <v>7.9546240575499749E-2</v>
      </c>
    </row>
    <row r="174" spans="1:8" x14ac:dyDescent="0.3">
      <c r="A174" s="2"/>
      <c r="B174" s="4">
        <v>22</v>
      </c>
      <c r="C174" s="4">
        <v>22</v>
      </c>
      <c r="D174" s="4">
        <v>0</v>
      </c>
      <c r="E174" s="4">
        <v>100</v>
      </c>
      <c r="F174" s="4">
        <v>0</v>
      </c>
      <c r="G174" s="4">
        <v>0</v>
      </c>
      <c r="H174" s="29">
        <v>7.6087708376564991E-2</v>
      </c>
    </row>
    <row r="175" spans="1:8" x14ac:dyDescent="0.3">
      <c r="A175" s="2"/>
      <c r="B175" s="4">
        <v>22</v>
      </c>
      <c r="C175" s="4">
        <v>22</v>
      </c>
      <c r="D175" s="4">
        <v>0</v>
      </c>
      <c r="E175" s="4">
        <v>100</v>
      </c>
      <c r="F175" s="4">
        <v>0</v>
      </c>
      <c r="G175" s="4">
        <v>0</v>
      </c>
      <c r="H175" s="29">
        <v>7.6087708376564991E-2</v>
      </c>
    </row>
    <row r="176" spans="1:8" x14ac:dyDescent="0.3">
      <c r="A176" s="2"/>
      <c r="B176" s="4">
        <v>22</v>
      </c>
      <c r="C176" s="4">
        <v>22</v>
      </c>
      <c r="D176" s="4">
        <v>0</v>
      </c>
      <c r="E176" s="4">
        <v>100</v>
      </c>
      <c r="F176" s="4">
        <v>0</v>
      </c>
      <c r="G176" s="4">
        <v>0</v>
      </c>
      <c r="H176" s="29">
        <v>7.6087708376564991E-2</v>
      </c>
    </row>
    <row r="177" spans="1:8" x14ac:dyDescent="0.3">
      <c r="A177" s="2"/>
      <c r="B177" s="4">
        <v>21</v>
      </c>
      <c r="C177" s="4">
        <v>21</v>
      </c>
      <c r="D177" s="4">
        <v>0</v>
      </c>
      <c r="E177" s="4">
        <v>100</v>
      </c>
      <c r="F177" s="4">
        <v>0</v>
      </c>
      <c r="G177" s="4">
        <v>0</v>
      </c>
      <c r="H177" s="29">
        <v>7.2629176177630206E-2</v>
      </c>
    </row>
    <row r="178" spans="1:8" x14ac:dyDescent="0.3">
      <c r="A178" s="2"/>
      <c r="B178" s="4">
        <v>21</v>
      </c>
      <c r="C178" s="4">
        <v>11</v>
      </c>
      <c r="D178" s="4">
        <v>10</v>
      </c>
      <c r="E178" s="4">
        <v>52.380952380952387</v>
      </c>
      <c r="F178" s="4">
        <v>47.619047619047613</v>
      </c>
      <c r="G178" s="4">
        <v>0.90909090909090906</v>
      </c>
      <c r="H178" s="29">
        <v>7.2629176177630206E-2</v>
      </c>
    </row>
    <row r="179" spans="1:8" x14ac:dyDescent="0.3">
      <c r="A179" s="2"/>
      <c r="B179" s="4">
        <v>21</v>
      </c>
      <c r="C179" s="4">
        <v>19</v>
      </c>
      <c r="D179" s="4">
        <v>2</v>
      </c>
      <c r="E179" s="4">
        <v>90.476190476190482</v>
      </c>
      <c r="F179" s="4">
        <v>9.5238095238095237</v>
      </c>
      <c r="G179" s="4">
        <v>0.10526315789473679</v>
      </c>
      <c r="H179" s="29">
        <v>7.2629176177630206E-2</v>
      </c>
    </row>
    <row r="180" spans="1:8" x14ac:dyDescent="0.3">
      <c r="A180" s="2"/>
      <c r="B180" s="4">
        <v>21</v>
      </c>
      <c r="C180" s="4">
        <v>12</v>
      </c>
      <c r="D180" s="4">
        <v>9</v>
      </c>
      <c r="E180" s="4">
        <v>57.142857142857139</v>
      </c>
      <c r="F180" s="4">
        <v>42.857142857142847</v>
      </c>
      <c r="G180" s="4">
        <v>0.75</v>
      </c>
      <c r="H180" s="29">
        <v>7.2629176177630206E-2</v>
      </c>
    </row>
    <row r="181" spans="1:8" x14ac:dyDescent="0.3">
      <c r="A181" s="2"/>
      <c r="B181" s="4">
        <v>21</v>
      </c>
      <c r="C181" s="4">
        <v>13</v>
      </c>
      <c r="D181" s="4">
        <v>8</v>
      </c>
      <c r="E181" s="4">
        <v>61.904761904761912</v>
      </c>
      <c r="F181" s="4">
        <v>38.095238095238088</v>
      </c>
      <c r="G181" s="4">
        <v>0.61538461538461542</v>
      </c>
      <c r="H181" s="29">
        <v>7.2629176177630206E-2</v>
      </c>
    </row>
    <row r="182" spans="1:8" x14ac:dyDescent="0.3">
      <c r="A182" s="2"/>
      <c r="B182" s="4">
        <v>21</v>
      </c>
      <c r="C182" s="4">
        <v>7</v>
      </c>
      <c r="D182" s="4">
        <v>14</v>
      </c>
      <c r="E182" s="4">
        <v>33.333333333333329</v>
      </c>
      <c r="F182" s="4">
        <v>66.666666666666657</v>
      </c>
      <c r="G182" s="4">
        <v>2</v>
      </c>
      <c r="H182" s="29">
        <v>7.2629176177630206E-2</v>
      </c>
    </row>
    <row r="183" spans="1:8" x14ac:dyDescent="0.3">
      <c r="A183" s="2"/>
      <c r="B183" s="4">
        <v>21</v>
      </c>
      <c r="C183" s="4">
        <v>9</v>
      </c>
      <c r="D183" s="4">
        <v>12</v>
      </c>
      <c r="E183" s="4">
        <v>42.857142857142847</v>
      </c>
      <c r="F183" s="4">
        <v>57.142857142857139</v>
      </c>
      <c r="G183" s="4">
        <v>1.333333333333333</v>
      </c>
      <c r="H183" s="29">
        <v>7.2629176177630206E-2</v>
      </c>
    </row>
    <row r="184" spans="1:8" x14ac:dyDescent="0.3">
      <c r="A184" s="2"/>
      <c r="B184" s="4">
        <v>21</v>
      </c>
      <c r="C184" s="4">
        <v>17</v>
      </c>
      <c r="D184" s="4">
        <v>4</v>
      </c>
      <c r="E184" s="4">
        <v>80.952380952380949</v>
      </c>
      <c r="F184" s="4">
        <v>19.047619047619051</v>
      </c>
      <c r="G184" s="4">
        <v>0.23529411764705879</v>
      </c>
      <c r="H184" s="29">
        <v>7.2629176177630206E-2</v>
      </c>
    </row>
    <row r="185" spans="1:8" x14ac:dyDescent="0.3">
      <c r="A185" s="2"/>
      <c r="B185" s="4">
        <v>20</v>
      </c>
      <c r="C185" s="4">
        <v>10</v>
      </c>
      <c r="D185" s="4">
        <v>10</v>
      </c>
      <c r="E185" s="4">
        <v>50</v>
      </c>
      <c r="F185" s="4">
        <v>50</v>
      </c>
      <c r="G185" s="4">
        <v>1</v>
      </c>
      <c r="H185" s="29">
        <v>6.9170643978695434E-2</v>
      </c>
    </row>
    <row r="186" spans="1:8" x14ac:dyDescent="0.3">
      <c r="A186" s="2"/>
      <c r="B186" s="4">
        <v>20</v>
      </c>
      <c r="C186" s="4">
        <v>20</v>
      </c>
      <c r="D186" s="4">
        <v>0</v>
      </c>
      <c r="E186" s="4">
        <v>100</v>
      </c>
      <c r="F186" s="4">
        <v>0</v>
      </c>
      <c r="G186" s="4">
        <v>0</v>
      </c>
      <c r="H186" s="29">
        <v>6.9170643978695434E-2</v>
      </c>
    </row>
    <row r="187" spans="1:8" x14ac:dyDescent="0.3">
      <c r="A187" s="2"/>
      <c r="B187" s="4">
        <v>20</v>
      </c>
      <c r="C187" s="4">
        <v>20</v>
      </c>
      <c r="D187" s="4">
        <v>0</v>
      </c>
      <c r="E187" s="4">
        <v>100</v>
      </c>
      <c r="F187" s="4">
        <v>0</v>
      </c>
      <c r="G187" s="4">
        <v>0</v>
      </c>
      <c r="H187" s="29">
        <v>6.9170643978695434E-2</v>
      </c>
    </row>
    <row r="188" spans="1:8" x14ac:dyDescent="0.3">
      <c r="A188" s="2"/>
      <c r="B188" s="4">
        <v>20</v>
      </c>
      <c r="C188" s="4">
        <v>12</v>
      </c>
      <c r="D188" s="4">
        <v>8</v>
      </c>
      <c r="E188" s="4">
        <v>60</v>
      </c>
      <c r="F188" s="4">
        <v>40</v>
      </c>
      <c r="G188" s="4">
        <v>0.66666666666666663</v>
      </c>
      <c r="H188" s="29">
        <v>6.9170643978695434E-2</v>
      </c>
    </row>
    <row r="189" spans="1:8" x14ac:dyDescent="0.3">
      <c r="A189" s="2"/>
      <c r="B189" s="4">
        <v>20</v>
      </c>
      <c r="C189" s="4">
        <v>20</v>
      </c>
      <c r="D189" s="4">
        <v>0</v>
      </c>
      <c r="E189" s="4">
        <v>100</v>
      </c>
      <c r="F189" s="4">
        <v>0</v>
      </c>
      <c r="G189" s="4">
        <v>0</v>
      </c>
      <c r="H189" s="29">
        <v>6.9170643978695434E-2</v>
      </c>
    </row>
    <row r="190" spans="1:8" x14ac:dyDescent="0.3">
      <c r="A190" s="2"/>
      <c r="B190" s="4">
        <v>20</v>
      </c>
      <c r="C190" s="4">
        <v>8</v>
      </c>
      <c r="D190" s="4">
        <v>12</v>
      </c>
      <c r="E190" s="4">
        <v>40</v>
      </c>
      <c r="F190" s="4">
        <v>60</v>
      </c>
      <c r="G190" s="4">
        <v>1.5</v>
      </c>
      <c r="H190" s="29">
        <v>6.9170643978695434E-2</v>
      </c>
    </row>
    <row r="191" spans="1:8" x14ac:dyDescent="0.3">
      <c r="A191" s="2"/>
      <c r="B191" s="4">
        <v>20</v>
      </c>
      <c r="C191" s="4">
        <v>14</v>
      </c>
      <c r="D191" s="4">
        <v>6</v>
      </c>
      <c r="E191" s="4">
        <v>70</v>
      </c>
      <c r="F191" s="4">
        <v>30</v>
      </c>
      <c r="G191" s="4">
        <v>0.42857142857142849</v>
      </c>
      <c r="H191" s="29">
        <v>6.9170643978695434E-2</v>
      </c>
    </row>
    <row r="192" spans="1:8" x14ac:dyDescent="0.3">
      <c r="A192" s="2"/>
      <c r="B192" s="4">
        <v>19</v>
      </c>
      <c r="C192" s="4">
        <v>19</v>
      </c>
      <c r="D192" s="4">
        <v>0</v>
      </c>
      <c r="E192" s="4">
        <v>100</v>
      </c>
      <c r="F192" s="4">
        <v>0</v>
      </c>
      <c r="G192" s="4">
        <v>0</v>
      </c>
      <c r="H192" s="29">
        <v>6.5712111779760676E-2</v>
      </c>
    </row>
    <row r="193" spans="1:8" x14ac:dyDescent="0.3">
      <c r="A193" s="2"/>
      <c r="B193" s="4">
        <v>19</v>
      </c>
      <c r="C193" s="4">
        <v>17</v>
      </c>
      <c r="D193" s="4">
        <v>2</v>
      </c>
      <c r="E193" s="4">
        <v>89.473684210526315</v>
      </c>
      <c r="F193" s="4">
        <v>10.52631578947368</v>
      </c>
      <c r="G193" s="4">
        <v>0.1176470588235294</v>
      </c>
      <c r="H193" s="29">
        <v>6.5712111779760676E-2</v>
      </c>
    </row>
    <row r="194" spans="1:8" x14ac:dyDescent="0.3">
      <c r="A194" s="2"/>
      <c r="B194" s="4">
        <v>19</v>
      </c>
      <c r="C194" s="4">
        <v>5</v>
      </c>
      <c r="D194" s="4">
        <v>14</v>
      </c>
      <c r="E194" s="4">
        <v>26.315789473684209</v>
      </c>
      <c r="F194" s="4">
        <v>73.68421052631578</v>
      </c>
      <c r="G194" s="4">
        <v>2.8</v>
      </c>
      <c r="H194" s="29">
        <v>6.5712111779760676E-2</v>
      </c>
    </row>
    <row r="195" spans="1:8" x14ac:dyDescent="0.3">
      <c r="A195" s="2"/>
      <c r="B195" s="4">
        <v>19</v>
      </c>
      <c r="C195" s="4">
        <v>14</v>
      </c>
      <c r="D195" s="4">
        <v>5</v>
      </c>
      <c r="E195" s="4">
        <v>73.68421052631578</v>
      </c>
      <c r="F195" s="4">
        <v>26.315789473684209</v>
      </c>
      <c r="G195" s="4">
        <v>0.35714285714285721</v>
      </c>
      <c r="H195" s="29">
        <v>6.5712111779760676E-2</v>
      </c>
    </row>
    <row r="196" spans="1:8" x14ac:dyDescent="0.3">
      <c r="A196" s="2"/>
      <c r="B196" s="4">
        <v>19</v>
      </c>
      <c r="C196" s="4">
        <v>10</v>
      </c>
      <c r="D196" s="4">
        <v>9</v>
      </c>
      <c r="E196" s="4">
        <v>52.631578947368418</v>
      </c>
      <c r="F196" s="4">
        <v>47.368421052631582</v>
      </c>
      <c r="G196" s="4">
        <v>0.9</v>
      </c>
      <c r="H196" s="29">
        <v>6.5712111779760676E-2</v>
      </c>
    </row>
    <row r="197" spans="1:8" x14ac:dyDescent="0.3">
      <c r="A197" s="2"/>
      <c r="B197" s="4">
        <v>18</v>
      </c>
      <c r="C197" s="4">
        <v>15</v>
      </c>
      <c r="D197" s="4">
        <v>3</v>
      </c>
      <c r="E197" s="4">
        <v>83.333333333333343</v>
      </c>
      <c r="F197" s="4">
        <v>16.666666666666661</v>
      </c>
      <c r="G197" s="4">
        <v>0.2</v>
      </c>
      <c r="H197" s="29">
        <v>6.2253579580825891E-2</v>
      </c>
    </row>
    <row r="198" spans="1:8" x14ac:dyDescent="0.3">
      <c r="A198" s="2"/>
      <c r="B198" s="4">
        <v>18</v>
      </c>
      <c r="C198" s="4">
        <v>18</v>
      </c>
      <c r="D198" s="4">
        <v>0</v>
      </c>
      <c r="E198" s="4">
        <v>100</v>
      </c>
      <c r="F198" s="4">
        <v>0</v>
      </c>
      <c r="G198" s="4">
        <v>0</v>
      </c>
      <c r="H198" s="29">
        <v>6.2253579580825891E-2</v>
      </c>
    </row>
    <row r="199" spans="1:8" x14ac:dyDescent="0.3">
      <c r="A199" s="2"/>
      <c r="B199" s="4">
        <v>18</v>
      </c>
      <c r="C199" s="4">
        <v>6</v>
      </c>
      <c r="D199" s="4">
        <v>12</v>
      </c>
      <c r="E199" s="4">
        <v>33.333333333333329</v>
      </c>
      <c r="F199" s="4">
        <v>66.666666666666657</v>
      </c>
      <c r="G199" s="4">
        <v>2</v>
      </c>
      <c r="H199" s="29">
        <v>6.2253579580825891E-2</v>
      </c>
    </row>
    <row r="200" spans="1:8" x14ac:dyDescent="0.3">
      <c r="A200" s="2"/>
      <c r="B200" s="4">
        <v>18</v>
      </c>
      <c r="C200" s="4">
        <v>18</v>
      </c>
      <c r="D200" s="4">
        <v>0</v>
      </c>
      <c r="E200" s="4">
        <v>100</v>
      </c>
      <c r="F200" s="4">
        <v>0</v>
      </c>
      <c r="G200" s="4">
        <v>0</v>
      </c>
      <c r="H200" s="29">
        <v>6.2253579580825891E-2</v>
      </c>
    </row>
    <row r="201" spans="1:8" x14ac:dyDescent="0.3">
      <c r="A201" s="2"/>
      <c r="B201" s="4">
        <v>17</v>
      </c>
      <c r="C201" s="4">
        <v>17</v>
      </c>
      <c r="D201" s="4">
        <v>0</v>
      </c>
      <c r="E201" s="4">
        <v>100</v>
      </c>
      <c r="F201" s="4">
        <v>0</v>
      </c>
      <c r="G201" s="4">
        <v>0</v>
      </c>
      <c r="H201" s="29">
        <v>5.8795047381891133E-2</v>
      </c>
    </row>
    <row r="202" spans="1:8" x14ac:dyDescent="0.3">
      <c r="A202" s="2"/>
      <c r="B202" s="4">
        <v>17</v>
      </c>
      <c r="C202" s="4">
        <v>17</v>
      </c>
      <c r="D202" s="4">
        <v>0</v>
      </c>
      <c r="E202" s="4">
        <v>100</v>
      </c>
      <c r="F202" s="4">
        <v>0</v>
      </c>
      <c r="G202" s="4">
        <v>0</v>
      </c>
      <c r="H202" s="29">
        <v>5.8795047381891133E-2</v>
      </c>
    </row>
    <row r="203" spans="1:8" x14ac:dyDescent="0.3">
      <c r="A203" s="2"/>
      <c r="B203" s="4">
        <v>17</v>
      </c>
      <c r="C203" s="4">
        <v>6</v>
      </c>
      <c r="D203" s="4">
        <v>11</v>
      </c>
      <c r="E203" s="4">
        <v>35.294117647058833</v>
      </c>
      <c r="F203" s="4">
        <v>64.705882352941174</v>
      </c>
      <c r="G203" s="4">
        <v>1.833333333333333</v>
      </c>
      <c r="H203" s="29">
        <v>5.8795047381891133E-2</v>
      </c>
    </row>
    <row r="204" spans="1:8" x14ac:dyDescent="0.3">
      <c r="A204" s="2"/>
      <c r="B204" s="4">
        <v>17</v>
      </c>
      <c r="C204" s="4">
        <v>17</v>
      </c>
      <c r="D204" s="4">
        <v>0</v>
      </c>
      <c r="E204" s="4">
        <v>100</v>
      </c>
      <c r="F204" s="4">
        <v>0</v>
      </c>
      <c r="G204" s="4">
        <v>0</v>
      </c>
      <c r="H204" s="29">
        <v>5.8795047381891133E-2</v>
      </c>
    </row>
    <row r="205" spans="1:8" x14ac:dyDescent="0.3">
      <c r="A205" s="2"/>
      <c r="B205" s="4">
        <v>17</v>
      </c>
      <c r="C205" s="4">
        <v>8</v>
      </c>
      <c r="D205" s="4">
        <v>9</v>
      </c>
      <c r="E205" s="4">
        <v>47.058823529411761</v>
      </c>
      <c r="F205" s="4">
        <v>52.941176470588239</v>
      </c>
      <c r="G205" s="4">
        <v>1.125</v>
      </c>
      <c r="H205" s="29">
        <v>5.8795047381891133E-2</v>
      </c>
    </row>
    <row r="206" spans="1:8" x14ac:dyDescent="0.3">
      <c r="A206" s="2"/>
      <c r="B206" s="4">
        <v>17</v>
      </c>
      <c r="C206" s="4">
        <v>17</v>
      </c>
      <c r="D206" s="4">
        <v>0</v>
      </c>
      <c r="E206" s="4">
        <v>100</v>
      </c>
      <c r="F206" s="4">
        <v>0</v>
      </c>
      <c r="G206" s="4">
        <v>0</v>
      </c>
      <c r="H206" s="29">
        <v>5.8795047381891133E-2</v>
      </c>
    </row>
    <row r="207" spans="1:8" x14ac:dyDescent="0.3">
      <c r="A207" s="2"/>
      <c r="B207" s="4">
        <v>17</v>
      </c>
      <c r="C207" s="4">
        <v>4</v>
      </c>
      <c r="D207" s="4">
        <v>13</v>
      </c>
      <c r="E207" s="4">
        <v>23.52941176470588</v>
      </c>
      <c r="F207" s="4">
        <v>76.470588235294116</v>
      </c>
      <c r="G207" s="4">
        <v>3.25</v>
      </c>
      <c r="H207" s="29">
        <v>5.8795047381891133E-2</v>
      </c>
    </row>
    <row r="208" spans="1:8" x14ac:dyDescent="0.3">
      <c r="A208" s="2"/>
      <c r="B208" s="4">
        <v>16</v>
      </c>
      <c r="C208" s="4">
        <v>16</v>
      </c>
      <c r="D208" s="4">
        <v>0</v>
      </c>
      <c r="E208" s="4">
        <v>100</v>
      </c>
      <c r="F208" s="4">
        <v>0</v>
      </c>
      <c r="G208" s="4">
        <v>0</v>
      </c>
      <c r="H208" s="29">
        <v>5.5336515182956347E-2</v>
      </c>
    </row>
    <row r="209" spans="1:8" x14ac:dyDescent="0.3">
      <c r="A209" s="2"/>
      <c r="B209" s="4">
        <v>16</v>
      </c>
      <c r="C209" s="4">
        <v>10</v>
      </c>
      <c r="D209" s="4">
        <v>6</v>
      </c>
      <c r="E209" s="4">
        <v>62.5</v>
      </c>
      <c r="F209" s="4">
        <v>37.5</v>
      </c>
      <c r="G209" s="4">
        <v>0.6</v>
      </c>
      <c r="H209" s="29">
        <v>5.5336515182956347E-2</v>
      </c>
    </row>
    <row r="210" spans="1:8" x14ac:dyDescent="0.3">
      <c r="A210" s="2"/>
      <c r="B210" s="4">
        <v>16</v>
      </c>
      <c r="C210" s="4">
        <v>7</v>
      </c>
      <c r="D210" s="4">
        <v>9</v>
      </c>
      <c r="E210" s="4">
        <v>43.75</v>
      </c>
      <c r="F210" s="4">
        <v>56.25</v>
      </c>
      <c r="G210" s="4">
        <v>1.285714285714286</v>
      </c>
      <c r="H210" s="29">
        <v>5.5336515182956347E-2</v>
      </c>
    </row>
    <row r="211" spans="1:8" x14ac:dyDescent="0.3">
      <c r="A211" s="2"/>
      <c r="B211" s="4">
        <v>16</v>
      </c>
      <c r="C211" s="4">
        <v>7</v>
      </c>
      <c r="D211" s="4">
        <v>9</v>
      </c>
      <c r="E211" s="4">
        <v>43.75</v>
      </c>
      <c r="F211" s="4">
        <v>56.25</v>
      </c>
      <c r="G211" s="4">
        <v>1.285714285714286</v>
      </c>
      <c r="H211" s="29">
        <v>5.5336515182956347E-2</v>
      </c>
    </row>
    <row r="212" spans="1:8" x14ac:dyDescent="0.3">
      <c r="A212" s="2"/>
      <c r="B212" s="4">
        <v>16</v>
      </c>
      <c r="C212" s="4">
        <v>5</v>
      </c>
      <c r="D212" s="4">
        <v>11</v>
      </c>
      <c r="E212" s="4">
        <v>31.25</v>
      </c>
      <c r="F212" s="4">
        <v>68.75</v>
      </c>
      <c r="G212" s="4">
        <v>2.2000000000000002</v>
      </c>
      <c r="H212" s="29">
        <v>5.5336515182956347E-2</v>
      </c>
    </row>
    <row r="213" spans="1:8" x14ac:dyDescent="0.3">
      <c r="A213" s="2"/>
      <c r="B213" s="4">
        <v>16</v>
      </c>
      <c r="C213" s="4">
        <v>14</v>
      </c>
      <c r="D213" s="4">
        <v>2</v>
      </c>
      <c r="E213" s="4">
        <v>87.5</v>
      </c>
      <c r="F213" s="4">
        <v>12.5</v>
      </c>
      <c r="G213" s="4">
        <v>0.14285714285714279</v>
      </c>
      <c r="H213" s="29">
        <v>5.5336515182956347E-2</v>
      </c>
    </row>
    <row r="214" spans="1:8" x14ac:dyDescent="0.3">
      <c r="A214" s="2"/>
      <c r="B214" s="4">
        <v>16</v>
      </c>
      <c r="C214" s="4">
        <v>16</v>
      </c>
      <c r="D214" s="4">
        <v>0</v>
      </c>
      <c r="E214" s="4">
        <v>100</v>
      </c>
      <c r="F214" s="4">
        <v>0</v>
      </c>
      <c r="G214" s="4">
        <v>0</v>
      </c>
      <c r="H214" s="29">
        <v>5.5336515182956347E-2</v>
      </c>
    </row>
    <row r="215" spans="1:8" x14ac:dyDescent="0.3">
      <c r="A215" s="2"/>
      <c r="B215" s="4">
        <v>15</v>
      </c>
      <c r="C215" s="4">
        <v>13</v>
      </c>
      <c r="D215" s="4">
        <v>2</v>
      </c>
      <c r="E215" s="4">
        <v>86.666666666666671</v>
      </c>
      <c r="F215" s="4">
        <v>13.33333333333333</v>
      </c>
      <c r="G215" s="4">
        <v>0.15384615384615391</v>
      </c>
      <c r="H215" s="29">
        <v>5.1877982984021583E-2</v>
      </c>
    </row>
    <row r="216" spans="1:8" x14ac:dyDescent="0.3">
      <c r="A216" s="2"/>
      <c r="B216" s="4">
        <v>15</v>
      </c>
      <c r="C216" s="4">
        <v>15</v>
      </c>
      <c r="D216" s="4">
        <v>0</v>
      </c>
      <c r="E216" s="4">
        <v>100</v>
      </c>
      <c r="F216" s="4">
        <v>0</v>
      </c>
      <c r="G216" s="4">
        <v>0</v>
      </c>
      <c r="H216" s="29">
        <v>5.1877982984021583E-2</v>
      </c>
    </row>
    <row r="217" spans="1:8" x14ac:dyDescent="0.3">
      <c r="A217" s="2"/>
      <c r="B217" s="4">
        <v>15</v>
      </c>
      <c r="C217" s="4">
        <v>15</v>
      </c>
      <c r="D217" s="4">
        <v>0</v>
      </c>
      <c r="E217" s="4">
        <v>100</v>
      </c>
      <c r="F217" s="4">
        <v>0</v>
      </c>
      <c r="G217" s="4">
        <v>0</v>
      </c>
      <c r="H217" s="29">
        <v>5.1877982984021583E-2</v>
      </c>
    </row>
    <row r="218" spans="1:8" x14ac:dyDescent="0.3">
      <c r="A218" s="2"/>
      <c r="B218" s="4">
        <v>14</v>
      </c>
      <c r="C218" s="4">
        <v>14</v>
      </c>
      <c r="D218" s="4">
        <v>0</v>
      </c>
      <c r="E218" s="4">
        <v>100</v>
      </c>
      <c r="F218" s="4">
        <v>0</v>
      </c>
      <c r="G218" s="4">
        <v>0</v>
      </c>
      <c r="H218" s="29">
        <v>4.8419450785086811E-2</v>
      </c>
    </row>
    <row r="219" spans="1:8" x14ac:dyDescent="0.3">
      <c r="A219" s="2"/>
      <c r="B219" s="4">
        <v>14</v>
      </c>
      <c r="C219" s="4">
        <v>8</v>
      </c>
      <c r="D219" s="4">
        <v>6</v>
      </c>
      <c r="E219" s="4">
        <v>57.142857142857139</v>
      </c>
      <c r="F219" s="4">
        <v>42.857142857142847</v>
      </c>
      <c r="G219" s="4">
        <v>0.75</v>
      </c>
      <c r="H219" s="29">
        <v>4.8419450785086811E-2</v>
      </c>
    </row>
    <row r="220" spans="1:8" x14ac:dyDescent="0.3">
      <c r="A220" s="2"/>
      <c r="B220" s="4">
        <v>14</v>
      </c>
      <c r="C220" s="4">
        <v>5</v>
      </c>
      <c r="D220" s="4">
        <v>9</v>
      </c>
      <c r="E220" s="4">
        <v>35.714285714285722</v>
      </c>
      <c r="F220" s="4">
        <v>64.285714285714292</v>
      </c>
      <c r="G220" s="4">
        <v>1.8</v>
      </c>
      <c r="H220" s="29">
        <v>4.8419450785086811E-2</v>
      </c>
    </row>
    <row r="221" spans="1:8" x14ac:dyDescent="0.3">
      <c r="A221" s="2"/>
      <c r="B221" s="4">
        <v>14</v>
      </c>
      <c r="C221" s="4">
        <v>7</v>
      </c>
      <c r="D221" s="4">
        <v>7</v>
      </c>
      <c r="E221" s="4">
        <v>50</v>
      </c>
      <c r="F221" s="4">
        <v>50</v>
      </c>
      <c r="G221" s="4">
        <v>1</v>
      </c>
      <c r="H221" s="29">
        <v>4.8419450785086811E-2</v>
      </c>
    </row>
    <row r="222" spans="1:8" x14ac:dyDescent="0.3">
      <c r="A222" s="2"/>
      <c r="B222" s="4">
        <v>13</v>
      </c>
      <c r="C222" s="4">
        <v>3</v>
      </c>
      <c r="D222" s="4">
        <v>10</v>
      </c>
      <c r="E222" s="4">
        <v>23.07692307692308</v>
      </c>
      <c r="F222" s="4">
        <v>76.923076923076934</v>
      </c>
      <c r="G222" s="4">
        <v>3.333333333333333</v>
      </c>
      <c r="H222" s="29">
        <v>4.4960918586152039E-2</v>
      </c>
    </row>
    <row r="223" spans="1:8" x14ac:dyDescent="0.3">
      <c r="A223" s="2"/>
      <c r="B223" s="4">
        <v>13</v>
      </c>
      <c r="C223" s="4">
        <v>10</v>
      </c>
      <c r="D223" s="4">
        <v>3</v>
      </c>
      <c r="E223" s="4">
        <v>76.923076923076934</v>
      </c>
      <c r="F223" s="4">
        <v>23.07692307692308</v>
      </c>
      <c r="G223" s="4">
        <v>0.3</v>
      </c>
      <c r="H223" s="29">
        <v>4.4960918586152039E-2</v>
      </c>
    </row>
    <row r="224" spans="1:8" x14ac:dyDescent="0.3">
      <c r="A224" s="2"/>
      <c r="B224" s="4">
        <v>13</v>
      </c>
      <c r="C224" s="4">
        <v>4</v>
      </c>
      <c r="D224" s="4">
        <v>9</v>
      </c>
      <c r="E224" s="4">
        <v>30.76923076923077</v>
      </c>
      <c r="F224" s="4">
        <v>69.230769230769226</v>
      </c>
      <c r="G224" s="4">
        <v>2.25</v>
      </c>
      <c r="H224" s="29">
        <v>4.4960918586152039E-2</v>
      </c>
    </row>
    <row r="225" spans="1:8" x14ac:dyDescent="0.3">
      <c r="A225" s="2"/>
      <c r="B225" s="4">
        <v>13</v>
      </c>
      <c r="C225" s="4">
        <v>13</v>
      </c>
      <c r="D225" s="4">
        <v>0</v>
      </c>
      <c r="E225" s="4">
        <v>100</v>
      </c>
      <c r="F225" s="4">
        <v>0</v>
      </c>
      <c r="G225" s="4">
        <v>0</v>
      </c>
      <c r="H225" s="29">
        <v>4.4960918586152039E-2</v>
      </c>
    </row>
    <row r="226" spans="1:8" x14ac:dyDescent="0.3">
      <c r="A226" s="2"/>
      <c r="B226" s="4">
        <v>13</v>
      </c>
      <c r="C226" s="4">
        <v>13</v>
      </c>
      <c r="D226" s="4">
        <v>0</v>
      </c>
      <c r="E226" s="4">
        <v>100</v>
      </c>
      <c r="F226" s="4">
        <v>0</v>
      </c>
      <c r="G226" s="4">
        <v>0</v>
      </c>
      <c r="H226" s="29">
        <v>4.4960918586152039E-2</v>
      </c>
    </row>
    <row r="227" spans="1:8" x14ac:dyDescent="0.3">
      <c r="A227" s="2"/>
      <c r="B227" s="4">
        <v>13</v>
      </c>
      <c r="C227" s="4">
        <v>4</v>
      </c>
      <c r="D227" s="4">
        <v>9</v>
      </c>
      <c r="E227" s="4">
        <v>30.76923076923077</v>
      </c>
      <c r="F227" s="4">
        <v>69.230769230769226</v>
      </c>
      <c r="G227" s="4">
        <v>2.25</v>
      </c>
      <c r="H227" s="29">
        <v>4.4960918586152039E-2</v>
      </c>
    </row>
    <row r="228" spans="1:8" x14ac:dyDescent="0.3">
      <c r="A228" s="2"/>
      <c r="B228" s="4">
        <v>12</v>
      </c>
      <c r="C228" s="4">
        <v>8</v>
      </c>
      <c r="D228" s="4">
        <v>4</v>
      </c>
      <c r="E228" s="4">
        <v>66.666666666666657</v>
      </c>
      <c r="F228" s="4">
        <v>33.333333333333329</v>
      </c>
      <c r="G228" s="4">
        <v>0.5</v>
      </c>
      <c r="H228" s="29">
        <v>4.1502386387217267E-2</v>
      </c>
    </row>
    <row r="229" spans="1:8" x14ac:dyDescent="0.3">
      <c r="A229" s="2"/>
      <c r="B229" s="4">
        <v>12</v>
      </c>
      <c r="C229" s="4">
        <v>12</v>
      </c>
      <c r="D229" s="4">
        <v>0</v>
      </c>
      <c r="E229" s="4">
        <v>100</v>
      </c>
      <c r="F229" s="4">
        <v>0</v>
      </c>
      <c r="G229" s="4">
        <v>0</v>
      </c>
      <c r="H229" s="29">
        <v>4.1502386387217267E-2</v>
      </c>
    </row>
    <row r="230" spans="1:8" x14ac:dyDescent="0.3">
      <c r="A230" s="2"/>
      <c r="B230" s="4">
        <v>12</v>
      </c>
      <c r="C230" s="4">
        <v>4</v>
      </c>
      <c r="D230" s="4">
        <v>8</v>
      </c>
      <c r="E230" s="4">
        <v>33.333333333333329</v>
      </c>
      <c r="F230" s="4">
        <v>66.666666666666657</v>
      </c>
      <c r="G230" s="4">
        <v>2</v>
      </c>
      <c r="H230" s="29">
        <v>4.1502386387217267E-2</v>
      </c>
    </row>
    <row r="231" spans="1:8" x14ac:dyDescent="0.3">
      <c r="A231" s="2"/>
      <c r="B231" s="4">
        <v>11</v>
      </c>
      <c r="C231" s="4">
        <v>11</v>
      </c>
      <c r="D231" s="4">
        <v>0</v>
      </c>
      <c r="E231" s="4">
        <v>100</v>
      </c>
      <c r="F231" s="4">
        <v>0</v>
      </c>
      <c r="G231" s="4">
        <v>0</v>
      </c>
      <c r="H231" s="29">
        <v>3.8043854188282503E-2</v>
      </c>
    </row>
    <row r="232" spans="1:8" x14ac:dyDescent="0.3">
      <c r="A232" s="2"/>
      <c r="B232" s="4">
        <v>11</v>
      </c>
      <c r="C232" s="4">
        <v>4</v>
      </c>
      <c r="D232" s="4">
        <v>7</v>
      </c>
      <c r="E232" s="4">
        <v>36.363636363636367</v>
      </c>
      <c r="F232" s="4">
        <v>63.636363636363633</v>
      </c>
      <c r="G232" s="4">
        <v>1.75</v>
      </c>
      <c r="H232" s="29">
        <v>3.8043854188282503E-2</v>
      </c>
    </row>
    <row r="233" spans="1:8" x14ac:dyDescent="0.3">
      <c r="A233" s="2"/>
      <c r="B233" s="4">
        <v>11</v>
      </c>
      <c r="C233" s="4">
        <v>11</v>
      </c>
      <c r="D233" s="4">
        <v>0</v>
      </c>
      <c r="E233" s="4">
        <v>100</v>
      </c>
      <c r="F233" s="4">
        <v>0</v>
      </c>
      <c r="G233" s="4">
        <v>0</v>
      </c>
      <c r="H233" s="29">
        <v>3.8043854188282503E-2</v>
      </c>
    </row>
    <row r="234" spans="1:8" x14ac:dyDescent="0.3">
      <c r="A234" s="2"/>
      <c r="B234" s="4">
        <v>11</v>
      </c>
      <c r="C234" s="4">
        <v>11</v>
      </c>
      <c r="D234" s="4">
        <v>0</v>
      </c>
      <c r="E234" s="4">
        <v>100</v>
      </c>
      <c r="F234" s="4">
        <v>0</v>
      </c>
      <c r="G234" s="4">
        <v>0</v>
      </c>
      <c r="H234" s="29">
        <v>3.8043854188282503E-2</v>
      </c>
    </row>
    <row r="235" spans="1:8" x14ac:dyDescent="0.3">
      <c r="A235" s="2"/>
      <c r="B235" s="4">
        <v>11</v>
      </c>
      <c r="C235" s="4">
        <v>11</v>
      </c>
      <c r="D235" s="4">
        <v>0</v>
      </c>
      <c r="E235" s="4">
        <v>100</v>
      </c>
      <c r="F235" s="4">
        <v>0</v>
      </c>
      <c r="G235" s="4">
        <v>0</v>
      </c>
      <c r="H235" s="29">
        <v>3.8043854188282503E-2</v>
      </c>
    </row>
    <row r="236" spans="1:8" x14ac:dyDescent="0.3">
      <c r="A236" s="2"/>
      <c r="B236" s="4">
        <v>10</v>
      </c>
      <c r="C236" s="4">
        <v>9</v>
      </c>
      <c r="D236" s="4">
        <v>1</v>
      </c>
      <c r="E236" s="4">
        <v>90</v>
      </c>
      <c r="F236" s="4">
        <v>10</v>
      </c>
      <c r="G236" s="4">
        <v>0.1111111111111111</v>
      </c>
      <c r="H236" s="29">
        <v>3.4585321989347717E-2</v>
      </c>
    </row>
    <row r="237" spans="1:8" x14ac:dyDescent="0.3">
      <c r="A237" s="2"/>
      <c r="B237" s="4">
        <v>10</v>
      </c>
      <c r="C237" s="4">
        <v>2</v>
      </c>
      <c r="D237" s="4">
        <v>8</v>
      </c>
      <c r="E237" s="4">
        <v>20</v>
      </c>
      <c r="F237" s="4">
        <v>80</v>
      </c>
      <c r="G237" s="4">
        <v>4</v>
      </c>
      <c r="H237" s="29">
        <v>3.4585321989347717E-2</v>
      </c>
    </row>
    <row r="238" spans="1:8" x14ac:dyDescent="0.3">
      <c r="A238" s="2"/>
      <c r="B238" s="4">
        <v>10</v>
      </c>
      <c r="C238" s="4">
        <v>4</v>
      </c>
      <c r="D238" s="4">
        <v>6</v>
      </c>
      <c r="E238" s="4">
        <v>40</v>
      </c>
      <c r="F238" s="4">
        <v>60</v>
      </c>
      <c r="G238" s="4">
        <v>1.5</v>
      </c>
      <c r="H238" s="29">
        <v>3.4585321989347717E-2</v>
      </c>
    </row>
    <row r="239" spans="1:8" x14ac:dyDescent="0.3">
      <c r="A239" s="2"/>
      <c r="B239" s="4">
        <v>10</v>
      </c>
      <c r="C239" s="4">
        <v>5</v>
      </c>
      <c r="D239" s="4">
        <v>5</v>
      </c>
      <c r="E239" s="4">
        <v>50</v>
      </c>
      <c r="F239" s="4">
        <v>50</v>
      </c>
      <c r="G239" s="4">
        <v>1</v>
      </c>
      <c r="H239" s="29">
        <v>3.4585321989347717E-2</v>
      </c>
    </row>
    <row r="240" spans="1:8" x14ac:dyDescent="0.3">
      <c r="A240" s="2"/>
      <c r="B240" s="4">
        <v>10</v>
      </c>
      <c r="C240" s="4">
        <v>4</v>
      </c>
      <c r="D240" s="4">
        <v>6</v>
      </c>
      <c r="E240" s="4">
        <v>40</v>
      </c>
      <c r="F240" s="4">
        <v>60</v>
      </c>
      <c r="G240" s="4">
        <v>1.5</v>
      </c>
      <c r="H240" s="29">
        <v>3.4585321989347717E-2</v>
      </c>
    </row>
    <row r="241" spans="1:8" x14ac:dyDescent="0.3">
      <c r="A241" s="2"/>
      <c r="B241" s="4">
        <v>10</v>
      </c>
      <c r="C241" s="4">
        <v>5</v>
      </c>
      <c r="D241" s="4">
        <v>5</v>
      </c>
      <c r="E241" s="4">
        <v>50</v>
      </c>
      <c r="F241" s="4">
        <v>50</v>
      </c>
      <c r="G241" s="4">
        <v>1</v>
      </c>
      <c r="H241" s="29">
        <v>3.4585321989347717E-2</v>
      </c>
    </row>
    <row r="242" spans="1:8" x14ac:dyDescent="0.3">
      <c r="A242" s="2"/>
      <c r="B242" s="4">
        <v>9</v>
      </c>
      <c r="C242" s="4">
        <v>9</v>
      </c>
      <c r="D242" s="4">
        <v>0</v>
      </c>
      <c r="E242" s="4">
        <v>100</v>
      </c>
      <c r="F242" s="4">
        <v>0</v>
      </c>
      <c r="G242" s="4">
        <v>0</v>
      </c>
      <c r="H242" s="29">
        <v>3.1126789790412949E-2</v>
      </c>
    </row>
    <row r="243" spans="1:8" x14ac:dyDescent="0.3">
      <c r="A243" s="2"/>
      <c r="B243" s="4">
        <v>9</v>
      </c>
      <c r="C243" s="4">
        <v>1</v>
      </c>
      <c r="D243" s="4">
        <v>8</v>
      </c>
      <c r="E243" s="4">
        <v>11.111111111111111</v>
      </c>
      <c r="F243" s="4">
        <v>88.888888888888886</v>
      </c>
      <c r="G243" s="4">
        <v>8</v>
      </c>
      <c r="H243" s="29">
        <v>3.1126789790412949E-2</v>
      </c>
    </row>
    <row r="244" spans="1:8" x14ac:dyDescent="0.3">
      <c r="A244" s="2"/>
      <c r="B244" s="4">
        <v>9</v>
      </c>
      <c r="C244" s="4">
        <v>9</v>
      </c>
      <c r="D244" s="4">
        <v>0</v>
      </c>
      <c r="E244" s="4">
        <v>100</v>
      </c>
      <c r="F244" s="4">
        <v>0</v>
      </c>
      <c r="G244" s="4">
        <v>0</v>
      </c>
      <c r="H244" s="29">
        <v>3.1126789790412949E-2</v>
      </c>
    </row>
    <row r="245" spans="1:8" x14ac:dyDescent="0.3">
      <c r="A245" s="2"/>
      <c r="B245" s="4">
        <v>9</v>
      </c>
      <c r="C245" s="4">
        <v>9</v>
      </c>
      <c r="D245" s="4">
        <v>0</v>
      </c>
      <c r="E245" s="4">
        <v>100</v>
      </c>
      <c r="F245" s="4">
        <v>0</v>
      </c>
      <c r="G245" s="4">
        <v>0</v>
      </c>
      <c r="H245" s="29">
        <v>3.1126789790412949E-2</v>
      </c>
    </row>
    <row r="246" spans="1:8" x14ac:dyDescent="0.3">
      <c r="A246" s="2"/>
      <c r="B246" s="4">
        <v>9</v>
      </c>
      <c r="C246" s="4">
        <v>2</v>
      </c>
      <c r="D246" s="4">
        <v>7</v>
      </c>
      <c r="E246" s="4">
        <v>22.222222222222221</v>
      </c>
      <c r="F246" s="4">
        <v>77.777777777777786</v>
      </c>
      <c r="G246" s="4">
        <v>3.5</v>
      </c>
      <c r="H246" s="29">
        <v>3.1126789790412949E-2</v>
      </c>
    </row>
    <row r="247" spans="1:8" x14ac:dyDescent="0.3">
      <c r="A247" s="2"/>
      <c r="B247" s="4">
        <v>9</v>
      </c>
      <c r="C247" s="4">
        <v>9</v>
      </c>
      <c r="D247" s="4">
        <v>0</v>
      </c>
      <c r="E247" s="4">
        <v>100</v>
      </c>
      <c r="F247" s="4">
        <v>0</v>
      </c>
      <c r="G247" s="4">
        <v>0</v>
      </c>
      <c r="H247" s="29">
        <v>3.1126789790412949E-2</v>
      </c>
    </row>
    <row r="248" spans="1:8" x14ac:dyDescent="0.3">
      <c r="A248" s="2"/>
      <c r="B248" s="4">
        <v>8</v>
      </c>
      <c r="C248" s="4">
        <v>5</v>
      </c>
      <c r="D248" s="4">
        <v>3</v>
      </c>
      <c r="E248" s="4">
        <v>62.5</v>
      </c>
      <c r="F248" s="4">
        <v>37.5</v>
      </c>
      <c r="G248" s="4">
        <v>0.6</v>
      </c>
      <c r="H248" s="29">
        <v>2.7668257591478181E-2</v>
      </c>
    </row>
    <row r="249" spans="1:8" x14ac:dyDescent="0.3">
      <c r="A249" s="2"/>
      <c r="B249" s="4">
        <v>8</v>
      </c>
      <c r="C249" s="4">
        <v>6</v>
      </c>
      <c r="D249" s="4">
        <v>2</v>
      </c>
      <c r="E249" s="4">
        <v>75</v>
      </c>
      <c r="F249" s="4">
        <v>25</v>
      </c>
      <c r="G249" s="4">
        <v>0.33333333333333331</v>
      </c>
      <c r="H249" s="29">
        <v>2.7668257591478181E-2</v>
      </c>
    </row>
    <row r="250" spans="1:8" x14ac:dyDescent="0.3">
      <c r="A250" s="2"/>
      <c r="B250" s="4">
        <v>8</v>
      </c>
      <c r="C250" s="4">
        <v>3</v>
      </c>
      <c r="D250" s="4">
        <v>5</v>
      </c>
      <c r="E250" s="4">
        <v>37.5</v>
      </c>
      <c r="F250" s="4">
        <v>62.5</v>
      </c>
      <c r="G250" s="4">
        <v>1.666666666666667</v>
      </c>
      <c r="H250" s="29">
        <v>2.7668257591478181E-2</v>
      </c>
    </row>
    <row r="251" spans="1:8" x14ac:dyDescent="0.3">
      <c r="A251" s="2"/>
      <c r="B251" s="4">
        <v>8</v>
      </c>
      <c r="C251" s="4">
        <v>8</v>
      </c>
      <c r="D251" s="4">
        <v>0</v>
      </c>
      <c r="E251" s="4">
        <v>100</v>
      </c>
      <c r="F251" s="4">
        <v>0</v>
      </c>
      <c r="G251" s="4">
        <v>0</v>
      </c>
      <c r="H251" s="29">
        <v>2.7668257591478181E-2</v>
      </c>
    </row>
    <row r="252" spans="1:8" x14ac:dyDescent="0.3">
      <c r="A252" s="2"/>
      <c r="B252" s="4">
        <v>8</v>
      </c>
      <c r="C252" s="4">
        <v>8</v>
      </c>
      <c r="D252" s="4">
        <v>0</v>
      </c>
      <c r="E252" s="4">
        <v>100</v>
      </c>
      <c r="F252" s="4">
        <v>0</v>
      </c>
      <c r="G252" s="4">
        <v>0</v>
      </c>
      <c r="H252" s="29">
        <v>2.7668257591478181E-2</v>
      </c>
    </row>
    <row r="253" spans="1:8" x14ac:dyDescent="0.3">
      <c r="A253" s="2"/>
      <c r="B253" s="4">
        <v>8</v>
      </c>
      <c r="C253" s="4">
        <v>8</v>
      </c>
      <c r="D253" s="4">
        <v>0</v>
      </c>
      <c r="E253" s="4">
        <v>100</v>
      </c>
      <c r="F253" s="4">
        <v>0</v>
      </c>
      <c r="G253" s="4">
        <v>0</v>
      </c>
      <c r="H253" s="29">
        <v>2.7668257591478181E-2</v>
      </c>
    </row>
    <row r="254" spans="1:8" x14ac:dyDescent="0.3">
      <c r="A254" s="2"/>
      <c r="B254" s="4">
        <v>8</v>
      </c>
      <c r="C254" s="4">
        <v>4</v>
      </c>
      <c r="D254" s="4">
        <v>4</v>
      </c>
      <c r="E254" s="4">
        <v>50</v>
      </c>
      <c r="F254" s="4">
        <v>50</v>
      </c>
      <c r="G254" s="4">
        <v>1</v>
      </c>
      <c r="H254" s="29">
        <v>2.7668257591478181E-2</v>
      </c>
    </row>
    <row r="255" spans="1:8" x14ac:dyDescent="0.3">
      <c r="A255" s="2"/>
      <c r="B255" s="4">
        <v>8</v>
      </c>
      <c r="C255" s="4">
        <v>3</v>
      </c>
      <c r="D255" s="4">
        <v>5</v>
      </c>
      <c r="E255" s="4">
        <v>37.5</v>
      </c>
      <c r="F255" s="4">
        <v>62.5</v>
      </c>
      <c r="G255" s="4">
        <v>1.666666666666667</v>
      </c>
      <c r="H255" s="29">
        <v>2.7668257591478181E-2</v>
      </c>
    </row>
    <row r="256" spans="1:8" x14ac:dyDescent="0.3">
      <c r="A256" s="2"/>
      <c r="B256" s="4">
        <v>8</v>
      </c>
      <c r="C256" s="4">
        <v>2</v>
      </c>
      <c r="D256" s="4">
        <v>6</v>
      </c>
      <c r="E256" s="4">
        <v>25</v>
      </c>
      <c r="F256" s="4">
        <v>75</v>
      </c>
      <c r="G256" s="4">
        <v>3</v>
      </c>
      <c r="H256" s="29">
        <v>2.7668257591478181E-2</v>
      </c>
    </row>
    <row r="257" spans="1:8" x14ac:dyDescent="0.3">
      <c r="A257" s="2"/>
      <c r="B257" s="4">
        <v>8</v>
      </c>
      <c r="C257" s="4">
        <v>3</v>
      </c>
      <c r="D257" s="4">
        <v>5</v>
      </c>
      <c r="E257" s="4">
        <v>37.5</v>
      </c>
      <c r="F257" s="4">
        <v>62.5</v>
      </c>
      <c r="G257" s="4">
        <v>1.666666666666667</v>
      </c>
      <c r="H257" s="29">
        <v>2.7668257591478181E-2</v>
      </c>
    </row>
    <row r="258" spans="1:8" x14ac:dyDescent="0.3">
      <c r="A258" s="2"/>
      <c r="B258" s="4">
        <v>8</v>
      </c>
      <c r="C258" s="4">
        <v>2</v>
      </c>
      <c r="D258" s="4">
        <v>6</v>
      </c>
      <c r="E258" s="4">
        <v>25</v>
      </c>
      <c r="F258" s="4">
        <v>75</v>
      </c>
      <c r="G258" s="4">
        <v>3</v>
      </c>
      <c r="H258" s="29">
        <v>2.7668257591478181E-2</v>
      </c>
    </row>
    <row r="259" spans="1:8" x14ac:dyDescent="0.3">
      <c r="A259" s="2"/>
      <c r="B259" s="4">
        <v>8</v>
      </c>
      <c r="C259" s="4">
        <v>3</v>
      </c>
      <c r="D259" s="4">
        <v>5</v>
      </c>
      <c r="E259" s="4">
        <v>37.5</v>
      </c>
      <c r="F259" s="4">
        <v>62.5</v>
      </c>
      <c r="G259" s="4">
        <v>1.666666666666667</v>
      </c>
      <c r="H259" s="29">
        <v>2.7668257591478181E-2</v>
      </c>
    </row>
    <row r="260" spans="1:8" x14ac:dyDescent="0.3">
      <c r="A260" s="2"/>
      <c r="B260" s="4">
        <v>8</v>
      </c>
      <c r="C260" s="4">
        <v>8</v>
      </c>
      <c r="D260" s="4">
        <v>0</v>
      </c>
      <c r="E260" s="4">
        <v>100</v>
      </c>
      <c r="F260" s="4">
        <v>0</v>
      </c>
      <c r="G260" s="4">
        <v>0</v>
      </c>
      <c r="H260" s="29">
        <v>2.7668257591478181E-2</v>
      </c>
    </row>
    <row r="261" spans="1:8" x14ac:dyDescent="0.3">
      <c r="A261" s="2"/>
      <c r="B261" s="4">
        <v>7</v>
      </c>
      <c r="C261" s="4">
        <v>3</v>
      </c>
      <c r="D261" s="4">
        <v>4</v>
      </c>
      <c r="E261" s="4">
        <v>42.857142857142847</v>
      </c>
      <c r="F261" s="4">
        <v>57.142857142857139</v>
      </c>
      <c r="G261" s="4">
        <v>1.333333333333333</v>
      </c>
      <c r="H261" s="29">
        <v>2.4209725392543409E-2</v>
      </c>
    </row>
    <row r="262" spans="1:8" x14ac:dyDescent="0.3">
      <c r="A262" s="2"/>
      <c r="B262" s="4">
        <v>7</v>
      </c>
      <c r="C262" s="4">
        <v>2</v>
      </c>
      <c r="D262" s="4">
        <v>5</v>
      </c>
      <c r="E262" s="4">
        <v>28.571428571428569</v>
      </c>
      <c r="F262" s="4">
        <v>71.428571428571431</v>
      </c>
      <c r="G262" s="4">
        <v>2.5</v>
      </c>
      <c r="H262" s="29">
        <v>2.4209725392543409E-2</v>
      </c>
    </row>
    <row r="263" spans="1:8" x14ac:dyDescent="0.3">
      <c r="A263" s="2"/>
      <c r="B263" s="4">
        <v>7</v>
      </c>
      <c r="C263" s="4">
        <v>2</v>
      </c>
      <c r="D263" s="4">
        <v>5</v>
      </c>
      <c r="E263" s="4">
        <v>28.571428571428569</v>
      </c>
      <c r="F263" s="4">
        <v>71.428571428571431</v>
      </c>
      <c r="G263" s="4">
        <v>2.5</v>
      </c>
      <c r="H263" s="29">
        <v>2.4209725392543409E-2</v>
      </c>
    </row>
    <row r="264" spans="1:8" x14ac:dyDescent="0.3">
      <c r="A264" s="2"/>
      <c r="B264" s="4">
        <v>7</v>
      </c>
      <c r="C264" s="4">
        <v>3</v>
      </c>
      <c r="D264" s="4">
        <v>4</v>
      </c>
      <c r="E264" s="4">
        <v>42.857142857142847</v>
      </c>
      <c r="F264" s="4">
        <v>57.142857142857139</v>
      </c>
      <c r="G264" s="4">
        <v>1.333333333333333</v>
      </c>
      <c r="H264" s="29">
        <v>2.4209725392543409E-2</v>
      </c>
    </row>
    <row r="265" spans="1:8" x14ac:dyDescent="0.3">
      <c r="A265" s="2"/>
      <c r="B265" s="4">
        <v>7</v>
      </c>
      <c r="C265" s="4">
        <v>3</v>
      </c>
      <c r="D265" s="4">
        <v>4</v>
      </c>
      <c r="E265" s="4">
        <v>42.857142857142847</v>
      </c>
      <c r="F265" s="4">
        <v>57.142857142857139</v>
      </c>
      <c r="G265" s="4">
        <v>1.333333333333333</v>
      </c>
      <c r="H265" s="29">
        <v>2.4209725392543409E-2</v>
      </c>
    </row>
    <row r="266" spans="1:8" x14ac:dyDescent="0.3">
      <c r="A266" s="2"/>
      <c r="B266" s="4">
        <v>7</v>
      </c>
      <c r="C266" s="4">
        <v>2</v>
      </c>
      <c r="D266" s="4">
        <v>5</v>
      </c>
      <c r="E266" s="4">
        <v>28.571428571428569</v>
      </c>
      <c r="F266" s="4">
        <v>71.428571428571431</v>
      </c>
      <c r="G266" s="4">
        <v>2.5</v>
      </c>
      <c r="H266" s="29">
        <v>2.4209725392543409E-2</v>
      </c>
    </row>
    <row r="267" spans="1:8" x14ac:dyDescent="0.3">
      <c r="A267" s="2"/>
      <c r="B267" s="4">
        <v>7</v>
      </c>
      <c r="C267" s="4">
        <v>7</v>
      </c>
      <c r="D267" s="4">
        <v>0</v>
      </c>
      <c r="E267" s="4">
        <v>100</v>
      </c>
      <c r="F267" s="4">
        <v>0</v>
      </c>
      <c r="G267" s="4">
        <v>0</v>
      </c>
      <c r="H267" s="29">
        <v>2.4209725392543409E-2</v>
      </c>
    </row>
    <row r="268" spans="1:8" x14ac:dyDescent="0.3">
      <c r="A268" s="2"/>
      <c r="B268" s="4">
        <v>7</v>
      </c>
      <c r="C268" s="4">
        <v>0</v>
      </c>
      <c r="D268" s="4">
        <v>7</v>
      </c>
      <c r="E268" s="4">
        <v>0</v>
      </c>
      <c r="F268" s="4">
        <v>100</v>
      </c>
      <c r="G268" s="2"/>
      <c r="H268" s="29">
        <v>2.4209725392543409E-2</v>
      </c>
    </row>
    <row r="269" spans="1:8" x14ac:dyDescent="0.3">
      <c r="A269" s="2"/>
      <c r="B269" s="4">
        <v>7</v>
      </c>
      <c r="C269" s="4">
        <v>7</v>
      </c>
      <c r="D269" s="4">
        <v>0</v>
      </c>
      <c r="E269" s="4">
        <v>100</v>
      </c>
      <c r="F269" s="4">
        <v>0</v>
      </c>
      <c r="G269" s="4">
        <v>0</v>
      </c>
      <c r="H269" s="29">
        <v>2.4209725392543409E-2</v>
      </c>
    </row>
    <row r="270" spans="1:8" x14ac:dyDescent="0.3">
      <c r="A270" s="2"/>
      <c r="B270" s="4">
        <v>7</v>
      </c>
      <c r="C270" s="4">
        <v>4</v>
      </c>
      <c r="D270" s="4">
        <v>3</v>
      </c>
      <c r="E270" s="4">
        <v>57.142857142857139</v>
      </c>
      <c r="F270" s="4">
        <v>42.857142857142847</v>
      </c>
      <c r="G270" s="4">
        <v>0.75</v>
      </c>
      <c r="H270" s="29">
        <v>2.4209725392543409E-2</v>
      </c>
    </row>
    <row r="271" spans="1:8" x14ac:dyDescent="0.3">
      <c r="A271" s="2"/>
      <c r="B271" s="4">
        <v>7</v>
      </c>
      <c r="C271" s="4">
        <v>3</v>
      </c>
      <c r="D271" s="4">
        <v>4</v>
      </c>
      <c r="E271" s="4">
        <v>42.857142857142847</v>
      </c>
      <c r="F271" s="4">
        <v>57.142857142857139</v>
      </c>
      <c r="G271" s="4">
        <v>1.333333333333333</v>
      </c>
      <c r="H271" s="29">
        <v>2.4209725392543409E-2</v>
      </c>
    </row>
    <row r="272" spans="1:8" x14ac:dyDescent="0.3">
      <c r="A272" s="2"/>
      <c r="B272" s="4">
        <v>7</v>
      </c>
      <c r="C272" s="4">
        <v>2</v>
      </c>
      <c r="D272" s="4">
        <v>5</v>
      </c>
      <c r="E272" s="4">
        <v>28.571428571428569</v>
      </c>
      <c r="F272" s="4">
        <v>71.428571428571431</v>
      </c>
      <c r="G272" s="4">
        <v>2.5</v>
      </c>
      <c r="H272" s="29">
        <v>2.4209725392543409E-2</v>
      </c>
    </row>
    <row r="273" spans="1:8" x14ac:dyDescent="0.3">
      <c r="A273" s="2"/>
      <c r="B273" s="4">
        <v>6</v>
      </c>
      <c r="C273" s="4">
        <v>3</v>
      </c>
      <c r="D273" s="4">
        <v>3</v>
      </c>
      <c r="E273" s="4">
        <v>50</v>
      </c>
      <c r="F273" s="4">
        <v>50</v>
      </c>
      <c r="G273" s="4">
        <v>1</v>
      </c>
      <c r="H273" s="29">
        <v>2.075119319360863E-2</v>
      </c>
    </row>
    <row r="274" spans="1:8" x14ac:dyDescent="0.3">
      <c r="A274" s="2"/>
      <c r="B274" s="4">
        <v>6</v>
      </c>
      <c r="C274" s="4">
        <v>3</v>
      </c>
      <c r="D274" s="4">
        <v>3</v>
      </c>
      <c r="E274" s="4">
        <v>50</v>
      </c>
      <c r="F274" s="4">
        <v>50</v>
      </c>
      <c r="G274" s="4">
        <v>1</v>
      </c>
      <c r="H274" s="29">
        <v>2.075119319360863E-2</v>
      </c>
    </row>
    <row r="275" spans="1:8" x14ac:dyDescent="0.3">
      <c r="A275" s="2"/>
      <c r="B275" s="4">
        <v>6</v>
      </c>
      <c r="C275" s="4">
        <v>1</v>
      </c>
      <c r="D275" s="4">
        <v>5</v>
      </c>
      <c r="E275" s="4">
        <v>16.666666666666661</v>
      </c>
      <c r="F275" s="4">
        <v>83.333333333333343</v>
      </c>
      <c r="G275" s="4">
        <v>5</v>
      </c>
      <c r="H275" s="29">
        <v>2.075119319360863E-2</v>
      </c>
    </row>
    <row r="276" spans="1:8" x14ac:dyDescent="0.3">
      <c r="A276" s="2"/>
      <c r="B276" s="4">
        <v>6</v>
      </c>
      <c r="C276" s="4">
        <v>3</v>
      </c>
      <c r="D276" s="4">
        <v>3</v>
      </c>
      <c r="E276" s="4">
        <v>50</v>
      </c>
      <c r="F276" s="4">
        <v>50</v>
      </c>
      <c r="G276" s="4">
        <v>1</v>
      </c>
      <c r="H276" s="29">
        <v>2.075119319360863E-2</v>
      </c>
    </row>
    <row r="277" spans="1:8" x14ac:dyDescent="0.3">
      <c r="A277" s="2"/>
      <c r="B277" s="4">
        <v>6</v>
      </c>
      <c r="C277" s="4">
        <v>1</v>
      </c>
      <c r="D277" s="4">
        <v>5</v>
      </c>
      <c r="E277" s="4">
        <v>16.666666666666661</v>
      </c>
      <c r="F277" s="4">
        <v>83.333333333333343</v>
      </c>
      <c r="G277" s="4">
        <v>5</v>
      </c>
      <c r="H277" s="29">
        <v>2.075119319360863E-2</v>
      </c>
    </row>
    <row r="278" spans="1:8" x14ac:dyDescent="0.3">
      <c r="A278" s="2"/>
      <c r="B278" s="4">
        <v>6</v>
      </c>
      <c r="C278" s="4">
        <v>1</v>
      </c>
      <c r="D278" s="4">
        <v>5</v>
      </c>
      <c r="E278" s="4">
        <v>16.666666666666661</v>
      </c>
      <c r="F278" s="4">
        <v>83.333333333333343</v>
      </c>
      <c r="G278" s="4">
        <v>5</v>
      </c>
      <c r="H278" s="29">
        <v>2.075119319360863E-2</v>
      </c>
    </row>
    <row r="279" spans="1:8" x14ac:dyDescent="0.3">
      <c r="A279" s="2"/>
      <c r="B279" s="4">
        <v>6</v>
      </c>
      <c r="C279" s="4">
        <v>2</v>
      </c>
      <c r="D279" s="4">
        <v>4</v>
      </c>
      <c r="E279" s="4">
        <v>33.333333333333329</v>
      </c>
      <c r="F279" s="4">
        <v>66.666666666666657</v>
      </c>
      <c r="G279" s="4">
        <v>2</v>
      </c>
      <c r="H279" s="29">
        <v>2.075119319360863E-2</v>
      </c>
    </row>
    <row r="280" spans="1:8" x14ac:dyDescent="0.3">
      <c r="A280" s="2"/>
      <c r="B280" s="4">
        <v>6</v>
      </c>
      <c r="C280" s="4">
        <v>1</v>
      </c>
      <c r="D280" s="4">
        <v>5</v>
      </c>
      <c r="E280" s="4">
        <v>16.666666666666661</v>
      </c>
      <c r="F280" s="4">
        <v>83.333333333333343</v>
      </c>
      <c r="G280" s="4">
        <v>5</v>
      </c>
      <c r="H280" s="29">
        <v>2.075119319360863E-2</v>
      </c>
    </row>
    <row r="281" spans="1:8" x14ac:dyDescent="0.3">
      <c r="A281" s="2"/>
      <c r="B281" s="4">
        <v>6</v>
      </c>
      <c r="C281" s="4">
        <v>2</v>
      </c>
      <c r="D281" s="4">
        <v>4</v>
      </c>
      <c r="E281" s="4">
        <v>33.333333333333329</v>
      </c>
      <c r="F281" s="4">
        <v>66.666666666666657</v>
      </c>
      <c r="G281" s="4">
        <v>2</v>
      </c>
      <c r="H281" s="29">
        <v>2.075119319360863E-2</v>
      </c>
    </row>
    <row r="282" spans="1:8" x14ac:dyDescent="0.3">
      <c r="A282" s="2"/>
      <c r="B282" s="4">
        <v>6</v>
      </c>
      <c r="C282" s="4">
        <v>2</v>
      </c>
      <c r="D282" s="4">
        <v>4</v>
      </c>
      <c r="E282" s="4">
        <v>33.333333333333329</v>
      </c>
      <c r="F282" s="4">
        <v>66.666666666666657</v>
      </c>
      <c r="G282" s="4">
        <v>2</v>
      </c>
      <c r="H282" s="29">
        <v>2.075119319360863E-2</v>
      </c>
    </row>
    <row r="283" spans="1:8" x14ac:dyDescent="0.3">
      <c r="A283" s="2"/>
      <c r="B283" s="4">
        <v>5</v>
      </c>
      <c r="C283" s="4">
        <v>5</v>
      </c>
      <c r="D283" s="4">
        <v>0</v>
      </c>
      <c r="E283" s="4">
        <v>100</v>
      </c>
      <c r="F283" s="4">
        <v>0</v>
      </c>
      <c r="G283" s="4">
        <v>0</v>
      </c>
      <c r="H283" s="29">
        <v>1.7292660994673859E-2</v>
      </c>
    </row>
    <row r="284" spans="1:8" x14ac:dyDescent="0.3">
      <c r="A284" s="2"/>
      <c r="B284" s="4">
        <v>5</v>
      </c>
      <c r="C284" s="4">
        <v>3</v>
      </c>
      <c r="D284" s="4">
        <v>2</v>
      </c>
      <c r="E284" s="4">
        <v>60</v>
      </c>
      <c r="F284" s="4">
        <v>40</v>
      </c>
      <c r="G284" s="4">
        <v>0.66666666666666663</v>
      </c>
      <c r="H284" s="29">
        <v>1.7292660994673859E-2</v>
      </c>
    </row>
    <row r="285" spans="1:8" x14ac:dyDescent="0.3">
      <c r="A285" s="2"/>
      <c r="B285" s="4">
        <v>5</v>
      </c>
      <c r="C285" s="4">
        <v>2</v>
      </c>
      <c r="D285" s="4">
        <v>3</v>
      </c>
      <c r="E285" s="4">
        <v>40</v>
      </c>
      <c r="F285" s="4">
        <v>60</v>
      </c>
      <c r="G285" s="4">
        <v>1.5</v>
      </c>
      <c r="H285" s="29">
        <v>1.7292660994673859E-2</v>
      </c>
    </row>
    <row r="286" spans="1:8" x14ac:dyDescent="0.3">
      <c r="A286" s="2"/>
      <c r="B286" s="4">
        <v>5</v>
      </c>
      <c r="C286" s="4">
        <v>5</v>
      </c>
      <c r="D286" s="4">
        <v>0</v>
      </c>
      <c r="E286" s="4">
        <v>100</v>
      </c>
      <c r="F286" s="4">
        <v>0</v>
      </c>
      <c r="G286" s="4">
        <v>0</v>
      </c>
      <c r="H286" s="29">
        <v>1.7292660994673859E-2</v>
      </c>
    </row>
    <row r="287" spans="1:8" x14ac:dyDescent="0.3">
      <c r="A287" s="2"/>
      <c r="B287" s="4">
        <v>5</v>
      </c>
      <c r="C287" s="4">
        <v>4</v>
      </c>
      <c r="D287" s="4">
        <v>1</v>
      </c>
      <c r="E287" s="4">
        <v>80</v>
      </c>
      <c r="F287" s="4">
        <v>20</v>
      </c>
      <c r="G287" s="4">
        <v>0.25</v>
      </c>
      <c r="H287" s="29">
        <v>1.7292660994673859E-2</v>
      </c>
    </row>
    <row r="288" spans="1:8" x14ac:dyDescent="0.3">
      <c r="A288" s="2"/>
      <c r="B288" s="4">
        <v>5</v>
      </c>
      <c r="C288" s="4">
        <v>2</v>
      </c>
      <c r="D288" s="4">
        <v>3</v>
      </c>
      <c r="E288" s="4">
        <v>40</v>
      </c>
      <c r="F288" s="4">
        <v>60</v>
      </c>
      <c r="G288" s="4">
        <v>1.5</v>
      </c>
      <c r="H288" s="29">
        <v>1.7292660994673859E-2</v>
      </c>
    </row>
    <row r="289" spans="1:8" x14ac:dyDescent="0.3">
      <c r="A289" s="2"/>
      <c r="B289" s="4">
        <v>5</v>
      </c>
      <c r="C289" s="4">
        <v>3</v>
      </c>
      <c r="D289" s="4">
        <v>2</v>
      </c>
      <c r="E289" s="4">
        <v>60</v>
      </c>
      <c r="F289" s="4">
        <v>40</v>
      </c>
      <c r="G289" s="4">
        <v>0.66666666666666663</v>
      </c>
      <c r="H289" s="29">
        <v>1.7292660994673859E-2</v>
      </c>
    </row>
    <row r="290" spans="1:8" x14ac:dyDescent="0.3">
      <c r="A290" s="2"/>
      <c r="B290" s="4">
        <v>5</v>
      </c>
      <c r="C290" s="4">
        <v>5</v>
      </c>
      <c r="D290" s="4">
        <v>0</v>
      </c>
      <c r="E290" s="4">
        <v>100</v>
      </c>
      <c r="F290" s="4">
        <v>0</v>
      </c>
      <c r="G290" s="4">
        <v>0</v>
      </c>
      <c r="H290" s="29">
        <v>1.7292660994673859E-2</v>
      </c>
    </row>
    <row r="291" spans="1:8" x14ac:dyDescent="0.3">
      <c r="A291" s="2"/>
      <c r="B291" s="4">
        <v>5</v>
      </c>
      <c r="C291" s="4">
        <v>1</v>
      </c>
      <c r="D291" s="4">
        <v>4</v>
      </c>
      <c r="E291" s="4">
        <v>20</v>
      </c>
      <c r="F291" s="4">
        <v>80</v>
      </c>
      <c r="G291" s="4">
        <v>4</v>
      </c>
      <c r="H291" s="29">
        <v>1.7292660994673859E-2</v>
      </c>
    </row>
    <row r="292" spans="1:8" x14ac:dyDescent="0.3">
      <c r="A292" s="2"/>
      <c r="B292" s="4">
        <v>5</v>
      </c>
      <c r="C292" s="4">
        <v>1</v>
      </c>
      <c r="D292" s="4">
        <v>4</v>
      </c>
      <c r="E292" s="4">
        <v>20</v>
      </c>
      <c r="F292" s="4">
        <v>80</v>
      </c>
      <c r="G292" s="4">
        <v>4</v>
      </c>
      <c r="H292" s="29">
        <v>1.7292660994673859E-2</v>
      </c>
    </row>
    <row r="293" spans="1:8" x14ac:dyDescent="0.3">
      <c r="A293" s="2"/>
      <c r="B293" s="4">
        <v>5</v>
      </c>
      <c r="C293" s="4">
        <v>2</v>
      </c>
      <c r="D293" s="4">
        <v>3</v>
      </c>
      <c r="E293" s="4">
        <v>40</v>
      </c>
      <c r="F293" s="4">
        <v>60</v>
      </c>
      <c r="G293" s="4">
        <v>1.5</v>
      </c>
      <c r="H293" s="29">
        <v>1.7292660994673859E-2</v>
      </c>
    </row>
    <row r="294" spans="1:8" x14ac:dyDescent="0.3">
      <c r="A294" s="2"/>
      <c r="B294" s="4">
        <v>5</v>
      </c>
      <c r="C294" s="4">
        <v>3</v>
      </c>
      <c r="D294" s="4">
        <v>2</v>
      </c>
      <c r="E294" s="4">
        <v>60</v>
      </c>
      <c r="F294" s="4">
        <v>40</v>
      </c>
      <c r="G294" s="4">
        <v>0.66666666666666663</v>
      </c>
      <c r="H294" s="29">
        <v>1.7292660994673859E-2</v>
      </c>
    </row>
    <row r="295" spans="1:8" x14ac:dyDescent="0.3">
      <c r="A295" s="2"/>
      <c r="B295" s="4">
        <v>5</v>
      </c>
      <c r="C295" s="4">
        <v>5</v>
      </c>
      <c r="D295" s="4">
        <v>0</v>
      </c>
      <c r="E295" s="4">
        <v>100</v>
      </c>
      <c r="F295" s="4">
        <v>0</v>
      </c>
      <c r="G295" s="4">
        <v>0</v>
      </c>
      <c r="H295" s="29">
        <v>1.7292660994673859E-2</v>
      </c>
    </row>
    <row r="296" spans="1:8" x14ac:dyDescent="0.3">
      <c r="A296" s="2"/>
      <c r="B296" s="4">
        <v>5</v>
      </c>
      <c r="C296" s="4">
        <v>1</v>
      </c>
      <c r="D296" s="4">
        <v>4</v>
      </c>
      <c r="E296" s="4">
        <v>20</v>
      </c>
      <c r="F296" s="4">
        <v>80</v>
      </c>
      <c r="G296" s="4">
        <v>4</v>
      </c>
      <c r="H296" s="29">
        <v>1.7292660994673859E-2</v>
      </c>
    </row>
    <row r="297" spans="1:8" x14ac:dyDescent="0.3">
      <c r="A297" s="2"/>
      <c r="B297" s="4">
        <v>4</v>
      </c>
      <c r="C297" s="4">
        <v>2</v>
      </c>
      <c r="D297" s="4">
        <v>2</v>
      </c>
      <c r="E297" s="4">
        <v>50</v>
      </c>
      <c r="F297" s="4">
        <v>50</v>
      </c>
      <c r="G297" s="4">
        <v>1</v>
      </c>
      <c r="H297" s="29">
        <v>1.383412879573909E-2</v>
      </c>
    </row>
    <row r="298" spans="1:8" x14ac:dyDescent="0.3">
      <c r="A298" s="2"/>
      <c r="B298" s="4">
        <v>4</v>
      </c>
      <c r="C298" s="4">
        <v>2</v>
      </c>
      <c r="D298" s="4">
        <v>2</v>
      </c>
      <c r="E298" s="4">
        <v>50</v>
      </c>
      <c r="F298" s="4">
        <v>50</v>
      </c>
      <c r="G298" s="4">
        <v>1</v>
      </c>
      <c r="H298" s="29">
        <v>1.383412879573909E-2</v>
      </c>
    </row>
    <row r="299" spans="1:8" x14ac:dyDescent="0.3">
      <c r="A299" s="2"/>
      <c r="B299" s="4">
        <v>4</v>
      </c>
      <c r="C299" s="4">
        <v>1</v>
      </c>
      <c r="D299" s="4">
        <v>3</v>
      </c>
      <c r="E299" s="4">
        <v>25</v>
      </c>
      <c r="F299" s="4">
        <v>75</v>
      </c>
      <c r="G299" s="4">
        <v>3</v>
      </c>
      <c r="H299" s="29">
        <v>1.383412879573909E-2</v>
      </c>
    </row>
    <row r="300" spans="1:8" x14ac:dyDescent="0.3">
      <c r="A300" s="2"/>
      <c r="B300" s="4">
        <v>4</v>
      </c>
      <c r="C300" s="4">
        <v>2</v>
      </c>
      <c r="D300" s="4">
        <v>2</v>
      </c>
      <c r="E300" s="4">
        <v>50</v>
      </c>
      <c r="F300" s="4">
        <v>50</v>
      </c>
      <c r="G300" s="4">
        <v>1</v>
      </c>
      <c r="H300" s="29">
        <v>1.383412879573909E-2</v>
      </c>
    </row>
    <row r="301" spans="1:8" x14ac:dyDescent="0.3">
      <c r="A301" s="2"/>
      <c r="B301" s="4">
        <v>4</v>
      </c>
      <c r="C301" s="4">
        <v>1</v>
      </c>
      <c r="D301" s="4">
        <v>3</v>
      </c>
      <c r="E301" s="4">
        <v>25</v>
      </c>
      <c r="F301" s="4">
        <v>75</v>
      </c>
      <c r="G301" s="4">
        <v>3</v>
      </c>
      <c r="H301" s="29">
        <v>1.383412879573909E-2</v>
      </c>
    </row>
    <row r="302" spans="1:8" x14ac:dyDescent="0.3">
      <c r="A302" s="2"/>
      <c r="B302" s="4">
        <v>4</v>
      </c>
      <c r="C302" s="4">
        <v>1</v>
      </c>
      <c r="D302" s="4">
        <v>3</v>
      </c>
      <c r="E302" s="4">
        <v>25</v>
      </c>
      <c r="F302" s="4">
        <v>75</v>
      </c>
      <c r="G302" s="4">
        <v>3</v>
      </c>
      <c r="H302" s="29">
        <v>1.383412879573909E-2</v>
      </c>
    </row>
    <row r="303" spans="1:8" x14ac:dyDescent="0.3">
      <c r="A303" s="2"/>
      <c r="B303" s="4">
        <v>4</v>
      </c>
      <c r="C303" s="4">
        <v>2</v>
      </c>
      <c r="D303" s="4">
        <v>2</v>
      </c>
      <c r="E303" s="4">
        <v>50</v>
      </c>
      <c r="F303" s="4">
        <v>50</v>
      </c>
      <c r="G303" s="4">
        <v>1</v>
      </c>
      <c r="H303" s="29">
        <v>1.383412879573909E-2</v>
      </c>
    </row>
    <row r="304" spans="1:8" x14ac:dyDescent="0.3">
      <c r="A304" s="2"/>
      <c r="B304" s="4">
        <v>4</v>
      </c>
      <c r="C304" s="4">
        <v>1</v>
      </c>
      <c r="D304" s="4">
        <v>3</v>
      </c>
      <c r="E304" s="4">
        <v>25</v>
      </c>
      <c r="F304" s="4">
        <v>75</v>
      </c>
      <c r="G304" s="4">
        <v>3</v>
      </c>
      <c r="H304" s="29">
        <v>1.383412879573909E-2</v>
      </c>
    </row>
    <row r="305" spans="1:8" x14ac:dyDescent="0.3">
      <c r="A305" s="2"/>
      <c r="B305" s="4">
        <v>4</v>
      </c>
      <c r="C305" s="4">
        <v>1</v>
      </c>
      <c r="D305" s="4">
        <v>3</v>
      </c>
      <c r="E305" s="4">
        <v>25</v>
      </c>
      <c r="F305" s="4">
        <v>75</v>
      </c>
      <c r="G305" s="4">
        <v>3</v>
      </c>
      <c r="H305" s="29">
        <v>1.383412879573909E-2</v>
      </c>
    </row>
    <row r="306" spans="1:8" x14ac:dyDescent="0.3">
      <c r="A306" s="2"/>
      <c r="B306" s="4">
        <v>4</v>
      </c>
      <c r="C306" s="4">
        <v>1</v>
      </c>
      <c r="D306" s="4">
        <v>3</v>
      </c>
      <c r="E306" s="4">
        <v>25</v>
      </c>
      <c r="F306" s="4">
        <v>75</v>
      </c>
      <c r="G306" s="4">
        <v>3</v>
      </c>
      <c r="H306" s="29">
        <v>1.383412879573909E-2</v>
      </c>
    </row>
    <row r="307" spans="1:8" x14ac:dyDescent="0.3">
      <c r="A307" s="2"/>
      <c r="B307" s="4">
        <v>4</v>
      </c>
      <c r="C307" s="4">
        <v>1</v>
      </c>
      <c r="D307" s="4">
        <v>3</v>
      </c>
      <c r="E307" s="4">
        <v>25</v>
      </c>
      <c r="F307" s="4">
        <v>75</v>
      </c>
      <c r="G307" s="4">
        <v>3</v>
      </c>
      <c r="H307" s="29">
        <v>1.383412879573909E-2</v>
      </c>
    </row>
    <row r="308" spans="1:8" x14ac:dyDescent="0.3">
      <c r="A308" s="2"/>
      <c r="B308" s="4">
        <v>4</v>
      </c>
      <c r="C308" s="4">
        <v>1</v>
      </c>
      <c r="D308" s="4">
        <v>3</v>
      </c>
      <c r="E308" s="4">
        <v>25</v>
      </c>
      <c r="F308" s="4">
        <v>75</v>
      </c>
      <c r="G308" s="4">
        <v>3</v>
      </c>
      <c r="H308" s="29">
        <v>1.383412879573909E-2</v>
      </c>
    </row>
    <row r="309" spans="1:8" x14ac:dyDescent="0.3">
      <c r="A309" s="2"/>
      <c r="B309" s="4">
        <v>4</v>
      </c>
      <c r="C309" s="4">
        <v>2</v>
      </c>
      <c r="D309" s="4">
        <v>2</v>
      </c>
      <c r="E309" s="4">
        <v>50</v>
      </c>
      <c r="F309" s="4">
        <v>50</v>
      </c>
      <c r="G309" s="4">
        <v>1</v>
      </c>
      <c r="H309" s="29">
        <v>1.383412879573909E-2</v>
      </c>
    </row>
    <row r="310" spans="1:8" x14ac:dyDescent="0.3">
      <c r="A310" s="2"/>
      <c r="B310" s="4">
        <v>4</v>
      </c>
      <c r="C310" s="4">
        <v>2</v>
      </c>
      <c r="D310" s="4">
        <v>2</v>
      </c>
      <c r="E310" s="4">
        <v>50</v>
      </c>
      <c r="F310" s="4">
        <v>50</v>
      </c>
      <c r="G310" s="4">
        <v>1</v>
      </c>
      <c r="H310" s="29">
        <v>1.383412879573909E-2</v>
      </c>
    </row>
    <row r="311" spans="1:8" x14ac:dyDescent="0.3">
      <c r="A311" s="2"/>
      <c r="B311" s="4">
        <v>4</v>
      </c>
      <c r="C311" s="4">
        <v>2</v>
      </c>
      <c r="D311" s="4">
        <v>2</v>
      </c>
      <c r="E311" s="4">
        <v>50</v>
      </c>
      <c r="F311" s="4">
        <v>50</v>
      </c>
      <c r="G311" s="4">
        <v>1</v>
      </c>
      <c r="H311" s="29">
        <v>1.383412879573909E-2</v>
      </c>
    </row>
    <row r="312" spans="1:8" x14ac:dyDescent="0.3">
      <c r="A312" s="2"/>
      <c r="B312" s="4">
        <v>3</v>
      </c>
      <c r="C312" s="4">
        <v>1</v>
      </c>
      <c r="D312" s="4">
        <v>2</v>
      </c>
      <c r="E312" s="4">
        <v>33.333333333333329</v>
      </c>
      <c r="F312" s="4">
        <v>66.666666666666657</v>
      </c>
      <c r="G312" s="4">
        <v>2</v>
      </c>
      <c r="H312" s="29">
        <v>1.037559659680432E-2</v>
      </c>
    </row>
    <row r="313" spans="1:8" x14ac:dyDescent="0.3">
      <c r="A313" s="2"/>
      <c r="B313" s="4">
        <v>3</v>
      </c>
      <c r="C313" s="4">
        <v>1</v>
      </c>
      <c r="D313" s="4">
        <v>2</v>
      </c>
      <c r="E313" s="4">
        <v>33.333333333333329</v>
      </c>
      <c r="F313" s="4">
        <v>66.666666666666657</v>
      </c>
      <c r="G313" s="4">
        <v>2</v>
      </c>
      <c r="H313" s="29">
        <v>1.037559659680432E-2</v>
      </c>
    </row>
    <row r="314" spans="1:8" x14ac:dyDescent="0.3">
      <c r="A314" s="2"/>
      <c r="B314" s="4">
        <v>3</v>
      </c>
      <c r="C314" s="4">
        <v>3</v>
      </c>
      <c r="D314" s="4">
        <v>0</v>
      </c>
      <c r="E314" s="4">
        <v>100</v>
      </c>
      <c r="F314" s="4">
        <v>0</v>
      </c>
      <c r="G314" s="4">
        <v>0</v>
      </c>
      <c r="H314" s="29">
        <v>1.037559659680432E-2</v>
      </c>
    </row>
    <row r="315" spans="1:8" x14ac:dyDescent="0.3">
      <c r="A315" s="2"/>
      <c r="B315" s="4">
        <v>3</v>
      </c>
      <c r="C315" s="4">
        <v>1</v>
      </c>
      <c r="D315" s="4">
        <v>2</v>
      </c>
      <c r="E315" s="4">
        <v>33.333333333333329</v>
      </c>
      <c r="F315" s="4">
        <v>66.666666666666657</v>
      </c>
      <c r="G315" s="4">
        <v>2</v>
      </c>
      <c r="H315" s="29">
        <v>1.037559659680432E-2</v>
      </c>
    </row>
    <row r="316" spans="1:8" x14ac:dyDescent="0.3">
      <c r="A316" s="2"/>
      <c r="B316" s="4">
        <v>3</v>
      </c>
      <c r="C316" s="4">
        <v>1</v>
      </c>
      <c r="D316" s="4">
        <v>2</v>
      </c>
      <c r="E316" s="4">
        <v>33.333333333333329</v>
      </c>
      <c r="F316" s="4">
        <v>66.666666666666657</v>
      </c>
      <c r="G316" s="4">
        <v>2</v>
      </c>
      <c r="H316" s="29">
        <v>1.037559659680432E-2</v>
      </c>
    </row>
    <row r="317" spans="1:8" x14ac:dyDescent="0.3">
      <c r="A317" s="2"/>
      <c r="B317" s="4">
        <v>3</v>
      </c>
      <c r="C317" s="4">
        <v>1</v>
      </c>
      <c r="D317" s="4">
        <v>2</v>
      </c>
      <c r="E317" s="4">
        <v>33.333333333333329</v>
      </c>
      <c r="F317" s="4">
        <v>66.666666666666657</v>
      </c>
      <c r="G317" s="4">
        <v>2</v>
      </c>
      <c r="H317" s="29">
        <v>1.037559659680432E-2</v>
      </c>
    </row>
    <row r="318" spans="1:8" x14ac:dyDescent="0.3">
      <c r="A318" s="2"/>
      <c r="B318" s="4">
        <v>3</v>
      </c>
      <c r="C318" s="4">
        <v>1</v>
      </c>
      <c r="D318" s="4">
        <v>2</v>
      </c>
      <c r="E318" s="4">
        <v>33.333333333333329</v>
      </c>
      <c r="F318" s="4">
        <v>66.666666666666657</v>
      </c>
      <c r="G318" s="4">
        <v>2</v>
      </c>
      <c r="H318" s="29">
        <v>1.037559659680432E-2</v>
      </c>
    </row>
    <row r="319" spans="1:8" x14ac:dyDescent="0.3">
      <c r="A319" s="2"/>
      <c r="B319" s="4">
        <v>3</v>
      </c>
      <c r="C319" s="4">
        <v>1</v>
      </c>
      <c r="D319" s="4">
        <v>2</v>
      </c>
      <c r="E319" s="4">
        <v>33.333333333333329</v>
      </c>
      <c r="F319" s="4">
        <v>66.666666666666657</v>
      </c>
      <c r="G319" s="4">
        <v>2</v>
      </c>
      <c r="H319" s="29">
        <v>1.037559659680432E-2</v>
      </c>
    </row>
    <row r="320" spans="1:8" x14ac:dyDescent="0.3">
      <c r="A320" s="2"/>
      <c r="B320" s="4">
        <v>3</v>
      </c>
      <c r="C320" s="4">
        <v>3</v>
      </c>
      <c r="D320" s="4">
        <v>0</v>
      </c>
      <c r="E320" s="4">
        <v>100</v>
      </c>
      <c r="F320" s="4">
        <v>0</v>
      </c>
      <c r="G320" s="4">
        <v>0</v>
      </c>
      <c r="H320" s="29">
        <v>1.037559659680432E-2</v>
      </c>
    </row>
    <row r="321" spans="1:8" x14ac:dyDescent="0.3">
      <c r="A321" s="2"/>
      <c r="B321" s="4">
        <v>3</v>
      </c>
      <c r="C321" s="4">
        <v>3</v>
      </c>
      <c r="D321" s="4">
        <v>0</v>
      </c>
      <c r="E321" s="4">
        <v>100</v>
      </c>
      <c r="F321" s="4">
        <v>0</v>
      </c>
      <c r="G321" s="4">
        <v>0</v>
      </c>
      <c r="H321" s="29">
        <v>1.037559659680432E-2</v>
      </c>
    </row>
    <row r="322" spans="1:8" x14ac:dyDescent="0.3">
      <c r="A322" s="2"/>
      <c r="B322" s="4">
        <v>3</v>
      </c>
      <c r="C322" s="4">
        <v>2</v>
      </c>
      <c r="D322" s="4">
        <v>1</v>
      </c>
      <c r="E322" s="4">
        <v>66.666666666666657</v>
      </c>
      <c r="F322" s="4">
        <v>33.333333333333329</v>
      </c>
      <c r="G322" s="4">
        <v>0.5</v>
      </c>
      <c r="H322" s="29">
        <v>1.037559659680432E-2</v>
      </c>
    </row>
    <row r="323" spans="1:8" x14ac:dyDescent="0.3">
      <c r="A323" s="2"/>
      <c r="B323" s="4">
        <v>3</v>
      </c>
      <c r="C323" s="4">
        <v>1</v>
      </c>
      <c r="D323" s="4">
        <v>2</v>
      </c>
      <c r="E323" s="4">
        <v>33.333333333333329</v>
      </c>
      <c r="F323" s="4">
        <v>66.666666666666657</v>
      </c>
      <c r="G323" s="4">
        <v>2</v>
      </c>
      <c r="H323" s="29">
        <v>1.037559659680432E-2</v>
      </c>
    </row>
    <row r="324" spans="1:8" x14ac:dyDescent="0.3">
      <c r="A324" s="2"/>
      <c r="B324" s="4">
        <v>3</v>
      </c>
      <c r="C324" s="4">
        <v>3</v>
      </c>
      <c r="D324" s="4">
        <v>0</v>
      </c>
      <c r="E324" s="4">
        <v>100</v>
      </c>
      <c r="F324" s="4">
        <v>0</v>
      </c>
      <c r="G324" s="4">
        <v>0</v>
      </c>
      <c r="H324" s="29">
        <v>1.037559659680432E-2</v>
      </c>
    </row>
    <row r="325" spans="1:8" x14ac:dyDescent="0.3">
      <c r="A325" s="2"/>
      <c r="B325" s="4">
        <v>3</v>
      </c>
      <c r="C325" s="4">
        <v>1</v>
      </c>
      <c r="D325" s="4">
        <v>2</v>
      </c>
      <c r="E325" s="4">
        <v>33.333333333333329</v>
      </c>
      <c r="F325" s="4">
        <v>66.666666666666657</v>
      </c>
      <c r="G325" s="4">
        <v>2</v>
      </c>
      <c r="H325" s="29">
        <v>1.037559659680432E-2</v>
      </c>
    </row>
    <row r="326" spans="1:8" x14ac:dyDescent="0.3">
      <c r="A326" s="2"/>
      <c r="B326" s="4">
        <v>3</v>
      </c>
      <c r="C326" s="4">
        <v>1</v>
      </c>
      <c r="D326" s="4">
        <v>2</v>
      </c>
      <c r="E326" s="4">
        <v>33.333333333333329</v>
      </c>
      <c r="F326" s="4">
        <v>66.666666666666657</v>
      </c>
      <c r="G326" s="4">
        <v>2</v>
      </c>
      <c r="H326" s="29">
        <v>1.037559659680432E-2</v>
      </c>
    </row>
    <row r="327" spans="1:8" x14ac:dyDescent="0.3">
      <c r="A327" s="2"/>
      <c r="B327" s="4">
        <v>3</v>
      </c>
      <c r="C327" s="4">
        <v>1</v>
      </c>
      <c r="D327" s="4">
        <v>2</v>
      </c>
      <c r="E327" s="4">
        <v>33.333333333333329</v>
      </c>
      <c r="F327" s="4">
        <v>66.666666666666657</v>
      </c>
      <c r="G327" s="4">
        <v>2</v>
      </c>
      <c r="H327" s="29">
        <v>1.037559659680432E-2</v>
      </c>
    </row>
    <row r="328" spans="1:8" x14ac:dyDescent="0.3">
      <c r="A328" s="2"/>
      <c r="B328" s="4">
        <v>3</v>
      </c>
      <c r="C328" s="4">
        <v>1</v>
      </c>
      <c r="D328" s="4">
        <v>2</v>
      </c>
      <c r="E328" s="4">
        <v>33.333333333333329</v>
      </c>
      <c r="F328" s="4">
        <v>66.666666666666657</v>
      </c>
      <c r="G328" s="4">
        <v>2</v>
      </c>
      <c r="H328" s="29">
        <v>1.037559659680432E-2</v>
      </c>
    </row>
    <row r="329" spans="1:8" x14ac:dyDescent="0.3">
      <c r="A329" s="2"/>
      <c r="B329" s="4">
        <v>3</v>
      </c>
      <c r="C329" s="4">
        <v>1</v>
      </c>
      <c r="D329" s="4">
        <v>2</v>
      </c>
      <c r="E329" s="4">
        <v>33.333333333333329</v>
      </c>
      <c r="F329" s="4">
        <v>66.666666666666657</v>
      </c>
      <c r="G329" s="4">
        <v>2</v>
      </c>
      <c r="H329" s="29">
        <v>1.037559659680432E-2</v>
      </c>
    </row>
    <row r="330" spans="1:8" x14ac:dyDescent="0.3">
      <c r="A330" s="2"/>
      <c r="B330" s="4">
        <v>3</v>
      </c>
      <c r="C330" s="4">
        <v>3</v>
      </c>
      <c r="D330" s="4">
        <v>0</v>
      </c>
      <c r="E330" s="4">
        <v>100</v>
      </c>
      <c r="F330" s="4">
        <v>0</v>
      </c>
      <c r="G330" s="4">
        <v>0</v>
      </c>
      <c r="H330" s="29">
        <v>1.037559659680432E-2</v>
      </c>
    </row>
    <row r="331" spans="1:8" x14ac:dyDescent="0.3">
      <c r="A331" s="2"/>
      <c r="B331" s="4">
        <v>3</v>
      </c>
      <c r="C331" s="4">
        <v>2</v>
      </c>
      <c r="D331" s="4">
        <v>1</v>
      </c>
      <c r="E331" s="4">
        <v>66.666666666666657</v>
      </c>
      <c r="F331" s="4">
        <v>33.333333333333329</v>
      </c>
      <c r="G331" s="4">
        <v>0.5</v>
      </c>
      <c r="H331" s="29">
        <v>1.037559659680432E-2</v>
      </c>
    </row>
    <row r="332" spans="1:8" x14ac:dyDescent="0.3">
      <c r="A332" s="2"/>
      <c r="B332" s="4">
        <v>3</v>
      </c>
      <c r="C332" s="4">
        <v>1</v>
      </c>
      <c r="D332" s="4">
        <v>2</v>
      </c>
      <c r="E332" s="4">
        <v>33.333333333333329</v>
      </c>
      <c r="F332" s="4">
        <v>66.666666666666657</v>
      </c>
      <c r="G332" s="4">
        <v>2</v>
      </c>
      <c r="H332" s="29">
        <v>1.037559659680432E-2</v>
      </c>
    </row>
    <row r="333" spans="1:8" x14ac:dyDescent="0.3">
      <c r="A333" s="2"/>
      <c r="B333" s="4">
        <v>3</v>
      </c>
      <c r="C333" s="4">
        <v>1</v>
      </c>
      <c r="D333" s="4">
        <v>2</v>
      </c>
      <c r="E333" s="4">
        <v>33.333333333333329</v>
      </c>
      <c r="F333" s="4">
        <v>66.666666666666657</v>
      </c>
      <c r="G333" s="4">
        <v>2</v>
      </c>
      <c r="H333" s="29">
        <v>1.037559659680432E-2</v>
      </c>
    </row>
    <row r="334" spans="1:8" x14ac:dyDescent="0.3">
      <c r="A334" s="2"/>
      <c r="B334" s="4">
        <v>2</v>
      </c>
      <c r="C334" s="4">
        <v>1</v>
      </c>
      <c r="D334" s="4">
        <v>1</v>
      </c>
      <c r="E334" s="4">
        <v>50</v>
      </c>
      <c r="F334" s="4">
        <v>50</v>
      </c>
      <c r="G334" s="4">
        <v>1</v>
      </c>
      <c r="H334" s="29">
        <v>6.9170643978695443E-3</v>
      </c>
    </row>
    <row r="335" spans="1:8" x14ac:dyDescent="0.3">
      <c r="A335" s="2"/>
      <c r="B335" s="4">
        <v>2</v>
      </c>
      <c r="C335" s="4">
        <v>1</v>
      </c>
      <c r="D335" s="4">
        <v>1</v>
      </c>
      <c r="E335" s="4">
        <v>50</v>
      </c>
      <c r="F335" s="4">
        <v>50</v>
      </c>
      <c r="G335" s="4">
        <v>1</v>
      </c>
      <c r="H335" s="29">
        <v>6.9170643978695443E-3</v>
      </c>
    </row>
    <row r="336" spans="1:8" x14ac:dyDescent="0.3">
      <c r="A336" s="2"/>
      <c r="B336" s="4">
        <v>2</v>
      </c>
      <c r="C336" s="4">
        <v>2</v>
      </c>
      <c r="D336" s="4">
        <v>0</v>
      </c>
      <c r="E336" s="4">
        <v>100</v>
      </c>
      <c r="F336" s="4">
        <v>0</v>
      </c>
      <c r="G336" s="4">
        <v>0</v>
      </c>
      <c r="H336" s="29">
        <v>6.9170643978695443E-3</v>
      </c>
    </row>
    <row r="337" spans="1:8" x14ac:dyDescent="0.3">
      <c r="A337" s="2"/>
      <c r="B337" s="4">
        <v>2</v>
      </c>
      <c r="C337" s="4">
        <v>0</v>
      </c>
      <c r="D337" s="4">
        <v>2</v>
      </c>
      <c r="E337" s="4">
        <v>0</v>
      </c>
      <c r="F337" s="4">
        <v>100</v>
      </c>
      <c r="G337" s="2"/>
      <c r="H337" s="29">
        <v>6.9170643978695443E-3</v>
      </c>
    </row>
    <row r="338" spans="1:8" x14ac:dyDescent="0.3">
      <c r="A338" s="2"/>
      <c r="B338" s="4">
        <v>2</v>
      </c>
      <c r="C338" s="4">
        <v>2</v>
      </c>
      <c r="D338" s="4">
        <v>0</v>
      </c>
      <c r="E338" s="4">
        <v>100</v>
      </c>
      <c r="F338" s="4">
        <v>0</v>
      </c>
      <c r="G338" s="4">
        <v>0</v>
      </c>
      <c r="H338" s="29">
        <v>6.9170643978695443E-3</v>
      </c>
    </row>
    <row r="339" spans="1:8" x14ac:dyDescent="0.3">
      <c r="A339" s="2"/>
      <c r="B339" s="4">
        <v>2</v>
      </c>
      <c r="C339" s="4">
        <v>0</v>
      </c>
      <c r="D339" s="4">
        <v>2</v>
      </c>
      <c r="E339" s="4">
        <v>0</v>
      </c>
      <c r="F339" s="4">
        <v>100</v>
      </c>
      <c r="G339" s="2"/>
      <c r="H339" s="29">
        <v>6.9170643978695443E-3</v>
      </c>
    </row>
    <row r="340" spans="1:8" x14ac:dyDescent="0.3">
      <c r="A340" s="2"/>
      <c r="B340" s="4">
        <v>2</v>
      </c>
      <c r="C340" s="4">
        <v>2</v>
      </c>
      <c r="D340" s="4">
        <v>0</v>
      </c>
      <c r="E340" s="4">
        <v>100</v>
      </c>
      <c r="F340" s="4">
        <v>0</v>
      </c>
      <c r="G340" s="4">
        <v>0</v>
      </c>
      <c r="H340" s="29">
        <v>6.9170643978695443E-3</v>
      </c>
    </row>
    <row r="341" spans="1:8" x14ac:dyDescent="0.3">
      <c r="A341" s="2"/>
      <c r="B341" s="4">
        <v>2</v>
      </c>
      <c r="C341" s="4">
        <v>0</v>
      </c>
      <c r="D341" s="4">
        <v>2</v>
      </c>
      <c r="E341" s="4">
        <v>0</v>
      </c>
      <c r="F341" s="4">
        <v>100</v>
      </c>
      <c r="G341" s="2"/>
      <c r="H341" s="29">
        <v>6.9170643978695443E-3</v>
      </c>
    </row>
    <row r="342" spans="1:8" x14ac:dyDescent="0.3">
      <c r="A342" s="2"/>
      <c r="B342" s="4">
        <v>2</v>
      </c>
      <c r="C342" s="4">
        <v>1</v>
      </c>
      <c r="D342" s="4">
        <v>1</v>
      </c>
      <c r="E342" s="4">
        <v>50</v>
      </c>
      <c r="F342" s="4">
        <v>50</v>
      </c>
      <c r="G342" s="4">
        <v>1</v>
      </c>
      <c r="H342" s="29">
        <v>6.9170643978695443E-3</v>
      </c>
    </row>
    <row r="343" spans="1:8" x14ac:dyDescent="0.3">
      <c r="A343" s="2"/>
      <c r="B343" s="4">
        <v>2</v>
      </c>
      <c r="C343" s="4">
        <v>2</v>
      </c>
      <c r="D343" s="4">
        <v>0</v>
      </c>
      <c r="E343" s="4">
        <v>100</v>
      </c>
      <c r="F343" s="4">
        <v>0</v>
      </c>
      <c r="G343" s="4">
        <v>0</v>
      </c>
      <c r="H343" s="29">
        <v>6.9170643978695443E-3</v>
      </c>
    </row>
    <row r="344" spans="1:8" x14ac:dyDescent="0.3">
      <c r="A344" s="2"/>
      <c r="B344" s="4">
        <v>2</v>
      </c>
      <c r="C344" s="4">
        <v>2</v>
      </c>
      <c r="D344" s="4">
        <v>0</v>
      </c>
      <c r="E344" s="4">
        <v>100</v>
      </c>
      <c r="F344" s="4">
        <v>0</v>
      </c>
      <c r="G344" s="4">
        <v>0</v>
      </c>
      <c r="H344" s="29">
        <v>6.9170643978695443E-3</v>
      </c>
    </row>
    <row r="345" spans="1:8" x14ac:dyDescent="0.3">
      <c r="A345" s="2"/>
      <c r="B345" s="4">
        <v>2</v>
      </c>
      <c r="C345" s="4">
        <v>1</v>
      </c>
      <c r="D345" s="4">
        <v>1</v>
      </c>
      <c r="E345" s="4">
        <v>50</v>
      </c>
      <c r="F345" s="4">
        <v>50</v>
      </c>
      <c r="G345" s="4">
        <v>1</v>
      </c>
      <c r="H345" s="29">
        <v>6.9170643978695443E-3</v>
      </c>
    </row>
    <row r="346" spans="1:8" x14ac:dyDescent="0.3">
      <c r="A346" s="2"/>
      <c r="B346" s="4">
        <v>2</v>
      </c>
      <c r="C346" s="4">
        <v>2</v>
      </c>
      <c r="D346" s="4">
        <v>0</v>
      </c>
      <c r="E346" s="4">
        <v>100</v>
      </c>
      <c r="F346" s="4">
        <v>0</v>
      </c>
      <c r="G346" s="4">
        <v>0</v>
      </c>
      <c r="H346" s="29">
        <v>6.9170643978695443E-3</v>
      </c>
    </row>
    <row r="347" spans="1:8" x14ac:dyDescent="0.3">
      <c r="A347" s="2"/>
      <c r="B347" s="4">
        <v>2</v>
      </c>
      <c r="C347" s="4">
        <v>2</v>
      </c>
      <c r="D347" s="4">
        <v>0</v>
      </c>
      <c r="E347" s="4">
        <v>100</v>
      </c>
      <c r="F347" s="4">
        <v>0</v>
      </c>
      <c r="G347" s="4">
        <v>0</v>
      </c>
      <c r="H347" s="29">
        <v>6.9170643978695443E-3</v>
      </c>
    </row>
    <row r="348" spans="1:8" x14ac:dyDescent="0.3">
      <c r="A348" s="2"/>
      <c r="B348" s="4">
        <v>2</v>
      </c>
      <c r="C348" s="4">
        <v>1</v>
      </c>
      <c r="D348" s="4">
        <v>1</v>
      </c>
      <c r="E348" s="4">
        <v>50</v>
      </c>
      <c r="F348" s="4">
        <v>50</v>
      </c>
      <c r="G348" s="4">
        <v>1</v>
      </c>
      <c r="H348" s="29">
        <v>6.9170643978695443E-3</v>
      </c>
    </row>
    <row r="349" spans="1:8" x14ac:dyDescent="0.3">
      <c r="A349" s="2"/>
      <c r="B349" s="4">
        <v>2</v>
      </c>
      <c r="C349" s="4">
        <v>1</v>
      </c>
      <c r="D349" s="4">
        <v>1</v>
      </c>
      <c r="E349" s="4">
        <v>50</v>
      </c>
      <c r="F349" s="4">
        <v>50</v>
      </c>
      <c r="G349" s="4">
        <v>1</v>
      </c>
      <c r="H349" s="29">
        <v>6.9170643978695443E-3</v>
      </c>
    </row>
    <row r="350" spans="1:8" x14ac:dyDescent="0.3">
      <c r="A350" s="2"/>
      <c r="B350" s="4">
        <v>2</v>
      </c>
      <c r="C350" s="4">
        <v>1</v>
      </c>
      <c r="D350" s="4">
        <v>1</v>
      </c>
      <c r="E350" s="4">
        <v>50</v>
      </c>
      <c r="F350" s="4">
        <v>50</v>
      </c>
      <c r="G350" s="4">
        <v>1</v>
      </c>
      <c r="H350" s="29">
        <v>6.9170643978695443E-3</v>
      </c>
    </row>
    <row r="351" spans="1:8" x14ac:dyDescent="0.3">
      <c r="A351" s="2"/>
      <c r="B351" s="4">
        <v>2</v>
      </c>
      <c r="C351" s="4">
        <v>1</v>
      </c>
      <c r="D351" s="4">
        <v>1</v>
      </c>
      <c r="E351" s="4">
        <v>50</v>
      </c>
      <c r="F351" s="4">
        <v>50</v>
      </c>
      <c r="G351" s="4">
        <v>1</v>
      </c>
      <c r="H351" s="29">
        <v>6.9170643978695443E-3</v>
      </c>
    </row>
    <row r="352" spans="1:8" x14ac:dyDescent="0.3">
      <c r="A352" s="2"/>
      <c r="B352" s="4">
        <v>2</v>
      </c>
      <c r="C352" s="4">
        <v>1</v>
      </c>
      <c r="D352" s="4">
        <v>1</v>
      </c>
      <c r="E352" s="4">
        <v>50</v>
      </c>
      <c r="F352" s="4">
        <v>50</v>
      </c>
      <c r="G352" s="4">
        <v>1</v>
      </c>
      <c r="H352" s="29">
        <v>6.9170643978695443E-3</v>
      </c>
    </row>
    <row r="353" spans="1:8" x14ac:dyDescent="0.3">
      <c r="A353" s="2"/>
      <c r="B353" s="4">
        <v>2</v>
      </c>
      <c r="C353" s="4">
        <v>1</v>
      </c>
      <c r="D353" s="4">
        <v>1</v>
      </c>
      <c r="E353" s="4">
        <v>50</v>
      </c>
      <c r="F353" s="4">
        <v>50</v>
      </c>
      <c r="G353" s="4">
        <v>1</v>
      </c>
      <c r="H353" s="29">
        <v>6.9170643978695443E-3</v>
      </c>
    </row>
    <row r="354" spans="1:8" x14ac:dyDescent="0.3">
      <c r="A354" s="2"/>
      <c r="B354" s="4">
        <v>2</v>
      </c>
      <c r="C354" s="4">
        <v>1</v>
      </c>
      <c r="D354" s="4">
        <v>1</v>
      </c>
      <c r="E354" s="4">
        <v>50</v>
      </c>
      <c r="F354" s="4">
        <v>50</v>
      </c>
      <c r="G354" s="4">
        <v>1</v>
      </c>
      <c r="H354" s="29">
        <v>6.9170643978695443E-3</v>
      </c>
    </row>
    <row r="355" spans="1:8" x14ac:dyDescent="0.3">
      <c r="A355" s="2"/>
      <c r="B355" s="4">
        <v>2</v>
      </c>
      <c r="C355" s="4">
        <v>0</v>
      </c>
      <c r="D355" s="4">
        <v>2</v>
      </c>
      <c r="E355" s="4">
        <v>0</v>
      </c>
      <c r="F355" s="4">
        <v>100</v>
      </c>
      <c r="G355" s="2"/>
      <c r="H355" s="29">
        <v>6.9170643978695443E-3</v>
      </c>
    </row>
    <row r="356" spans="1:8" x14ac:dyDescent="0.3">
      <c r="A356" s="2"/>
      <c r="B356" s="4">
        <v>2</v>
      </c>
      <c r="C356" s="4">
        <v>1</v>
      </c>
      <c r="D356" s="4">
        <v>1</v>
      </c>
      <c r="E356" s="4">
        <v>50</v>
      </c>
      <c r="F356" s="4">
        <v>50</v>
      </c>
      <c r="G356" s="4">
        <v>1</v>
      </c>
      <c r="H356" s="29">
        <v>6.9170643978695443E-3</v>
      </c>
    </row>
    <row r="357" spans="1:8" x14ac:dyDescent="0.3">
      <c r="A357" s="2"/>
      <c r="B357" s="4">
        <v>2</v>
      </c>
      <c r="C357" s="4">
        <v>1</v>
      </c>
      <c r="D357" s="4">
        <v>1</v>
      </c>
      <c r="E357" s="4">
        <v>50</v>
      </c>
      <c r="F357" s="4">
        <v>50</v>
      </c>
      <c r="G357" s="4">
        <v>1</v>
      </c>
      <c r="H357" s="29">
        <v>6.9170643978695443E-3</v>
      </c>
    </row>
    <row r="358" spans="1:8" x14ac:dyDescent="0.3">
      <c r="A358" s="2"/>
      <c r="B358" s="4">
        <v>2</v>
      </c>
      <c r="C358" s="4">
        <v>1</v>
      </c>
      <c r="D358" s="4">
        <v>1</v>
      </c>
      <c r="E358" s="4">
        <v>50</v>
      </c>
      <c r="F358" s="4">
        <v>50</v>
      </c>
      <c r="G358" s="4">
        <v>1</v>
      </c>
      <c r="H358" s="29">
        <v>6.9170643978695443E-3</v>
      </c>
    </row>
    <row r="359" spans="1:8" x14ac:dyDescent="0.3">
      <c r="A359" s="2"/>
      <c r="B359" s="4">
        <v>2</v>
      </c>
      <c r="C359" s="4">
        <v>2</v>
      </c>
      <c r="D359" s="4">
        <v>0</v>
      </c>
      <c r="E359" s="4">
        <v>100</v>
      </c>
      <c r="F359" s="4">
        <v>0</v>
      </c>
      <c r="G359" s="4">
        <v>0</v>
      </c>
      <c r="H359" s="29">
        <v>6.9170643978695443E-3</v>
      </c>
    </row>
    <row r="360" spans="1:8" x14ac:dyDescent="0.3">
      <c r="A360" s="2"/>
      <c r="B360" s="4">
        <v>2</v>
      </c>
      <c r="C360" s="4">
        <v>1</v>
      </c>
      <c r="D360" s="4">
        <v>1</v>
      </c>
      <c r="E360" s="4">
        <v>50</v>
      </c>
      <c r="F360" s="4">
        <v>50</v>
      </c>
      <c r="G360" s="4">
        <v>1</v>
      </c>
      <c r="H360" s="29">
        <v>6.9170643978695443E-3</v>
      </c>
    </row>
    <row r="361" spans="1:8" x14ac:dyDescent="0.3">
      <c r="A361" s="2"/>
      <c r="B361" s="4">
        <v>2</v>
      </c>
      <c r="C361" s="4">
        <v>1</v>
      </c>
      <c r="D361" s="4">
        <v>1</v>
      </c>
      <c r="E361" s="4">
        <v>50</v>
      </c>
      <c r="F361" s="4">
        <v>50</v>
      </c>
      <c r="G361" s="4">
        <v>1</v>
      </c>
      <c r="H361" s="29">
        <v>6.9170643978695443E-3</v>
      </c>
    </row>
    <row r="362" spans="1:8" x14ac:dyDescent="0.3">
      <c r="A362" s="2"/>
      <c r="B362" s="4">
        <v>2</v>
      </c>
      <c r="C362" s="4">
        <v>1</v>
      </c>
      <c r="D362" s="4">
        <v>1</v>
      </c>
      <c r="E362" s="4">
        <v>50</v>
      </c>
      <c r="F362" s="4">
        <v>50</v>
      </c>
      <c r="G362" s="4">
        <v>1</v>
      </c>
      <c r="H362" s="29">
        <v>6.9170643978695443E-3</v>
      </c>
    </row>
    <row r="363" spans="1:8" x14ac:dyDescent="0.3">
      <c r="A363" s="2"/>
      <c r="B363" s="4">
        <v>2</v>
      </c>
      <c r="C363" s="4">
        <v>1</v>
      </c>
      <c r="D363" s="4">
        <v>1</v>
      </c>
      <c r="E363" s="4">
        <v>50</v>
      </c>
      <c r="F363" s="4">
        <v>50</v>
      </c>
      <c r="G363" s="4">
        <v>1</v>
      </c>
      <c r="H363" s="29">
        <v>6.9170643978695443E-3</v>
      </c>
    </row>
    <row r="364" spans="1:8" x14ac:dyDescent="0.3">
      <c r="A364" s="2"/>
      <c r="B364" s="4">
        <v>2</v>
      </c>
      <c r="C364" s="4">
        <v>1</v>
      </c>
      <c r="D364" s="4">
        <v>1</v>
      </c>
      <c r="E364" s="4">
        <v>50</v>
      </c>
      <c r="F364" s="4">
        <v>50</v>
      </c>
      <c r="G364" s="4">
        <v>1</v>
      </c>
      <c r="H364" s="29">
        <v>6.9170643978695443E-3</v>
      </c>
    </row>
    <row r="365" spans="1:8" x14ac:dyDescent="0.3">
      <c r="A365" s="2"/>
      <c r="B365" s="4">
        <v>2</v>
      </c>
      <c r="C365" s="4">
        <v>1</v>
      </c>
      <c r="D365" s="4">
        <v>1</v>
      </c>
      <c r="E365" s="4">
        <v>50</v>
      </c>
      <c r="F365" s="4">
        <v>50</v>
      </c>
      <c r="G365" s="4">
        <v>1</v>
      </c>
      <c r="H365" s="29">
        <v>6.9170643978695443E-3</v>
      </c>
    </row>
    <row r="366" spans="1:8" x14ac:dyDescent="0.3">
      <c r="A366" s="2"/>
      <c r="B366" s="4">
        <v>2</v>
      </c>
      <c r="C366" s="4">
        <v>1</v>
      </c>
      <c r="D366" s="4">
        <v>1</v>
      </c>
      <c r="E366" s="4">
        <v>50</v>
      </c>
      <c r="F366" s="4">
        <v>50</v>
      </c>
      <c r="G366" s="4">
        <v>1</v>
      </c>
      <c r="H366" s="29">
        <v>6.9170643978695443E-3</v>
      </c>
    </row>
    <row r="367" spans="1:8" x14ac:dyDescent="0.3">
      <c r="A367" s="2"/>
      <c r="B367" s="4">
        <v>1</v>
      </c>
      <c r="C367" s="4">
        <v>1</v>
      </c>
      <c r="D367" s="4">
        <v>0</v>
      </c>
      <c r="E367" s="4">
        <v>100</v>
      </c>
      <c r="F367" s="4">
        <v>0</v>
      </c>
      <c r="G367" s="4">
        <v>0</v>
      </c>
      <c r="H367" s="29">
        <v>3.4585321989347721E-3</v>
      </c>
    </row>
    <row r="368" spans="1:8" x14ac:dyDescent="0.3">
      <c r="A368" s="2"/>
      <c r="B368" s="4">
        <v>1</v>
      </c>
      <c r="C368" s="4">
        <v>1</v>
      </c>
      <c r="D368" s="4">
        <v>0</v>
      </c>
      <c r="E368" s="4">
        <v>100</v>
      </c>
      <c r="F368" s="4">
        <v>0</v>
      </c>
      <c r="G368" s="4">
        <v>0</v>
      </c>
      <c r="H368" s="29">
        <v>3.4585321989347721E-3</v>
      </c>
    </row>
    <row r="369" spans="1:8" x14ac:dyDescent="0.3">
      <c r="A369" s="2"/>
      <c r="B369" s="4">
        <v>1</v>
      </c>
      <c r="C369" s="4">
        <v>0</v>
      </c>
      <c r="D369" s="4">
        <v>1</v>
      </c>
      <c r="E369" s="4">
        <v>0</v>
      </c>
      <c r="F369" s="4">
        <v>100</v>
      </c>
      <c r="G369" s="2"/>
      <c r="H369" s="29">
        <v>3.4585321989347721E-3</v>
      </c>
    </row>
    <row r="370" spans="1:8" x14ac:dyDescent="0.3">
      <c r="A370" s="2"/>
      <c r="B370" s="4">
        <v>1</v>
      </c>
      <c r="C370" s="4">
        <v>1</v>
      </c>
      <c r="D370" s="4">
        <v>0</v>
      </c>
      <c r="E370" s="4">
        <v>100</v>
      </c>
      <c r="F370" s="4">
        <v>0</v>
      </c>
      <c r="G370" s="4">
        <v>0</v>
      </c>
      <c r="H370" s="29">
        <v>3.4585321989347721E-3</v>
      </c>
    </row>
    <row r="371" spans="1:8" x14ac:dyDescent="0.3">
      <c r="A371" s="2"/>
      <c r="B371" s="4">
        <v>1</v>
      </c>
      <c r="C371" s="4">
        <v>1</v>
      </c>
      <c r="D371" s="4">
        <v>0</v>
      </c>
      <c r="E371" s="4">
        <v>100</v>
      </c>
      <c r="F371" s="4">
        <v>0</v>
      </c>
      <c r="G371" s="4">
        <v>0</v>
      </c>
      <c r="H371" s="29">
        <v>3.4585321989347721E-3</v>
      </c>
    </row>
    <row r="372" spans="1:8" x14ac:dyDescent="0.3">
      <c r="A372" s="2"/>
      <c r="B372" s="4">
        <v>1</v>
      </c>
      <c r="C372" s="4">
        <v>1</v>
      </c>
      <c r="D372" s="4">
        <v>0</v>
      </c>
      <c r="E372" s="4">
        <v>100</v>
      </c>
      <c r="F372" s="4">
        <v>0</v>
      </c>
      <c r="G372" s="4">
        <v>0</v>
      </c>
      <c r="H372" s="29">
        <v>3.4585321989347721E-3</v>
      </c>
    </row>
    <row r="373" spans="1:8" x14ac:dyDescent="0.3">
      <c r="A373" s="2"/>
      <c r="B373" s="4">
        <v>1</v>
      </c>
      <c r="C373" s="4">
        <v>1</v>
      </c>
      <c r="D373" s="4">
        <v>0</v>
      </c>
      <c r="E373" s="4">
        <v>100</v>
      </c>
      <c r="F373" s="4">
        <v>0</v>
      </c>
      <c r="G373" s="4">
        <v>0</v>
      </c>
      <c r="H373" s="29">
        <v>3.4585321989347721E-3</v>
      </c>
    </row>
    <row r="374" spans="1:8" x14ac:dyDescent="0.3">
      <c r="A374" s="2"/>
      <c r="B374" s="4">
        <v>1</v>
      </c>
      <c r="C374" s="4">
        <v>1</v>
      </c>
      <c r="D374" s="4">
        <v>0</v>
      </c>
      <c r="E374" s="4">
        <v>100</v>
      </c>
      <c r="F374" s="4">
        <v>0</v>
      </c>
      <c r="G374" s="4">
        <v>0</v>
      </c>
      <c r="H374" s="29">
        <v>3.4585321989347721E-3</v>
      </c>
    </row>
    <row r="375" spans="1:8" x14ac:dyDescent="0.3">
      <c r="A375" s="2"/>
      <c r="B375" s="4">
        <v>1</v>
      </c>
      <c r="C375" s="4">
        <v>0</v>
      </c>
      <c r="D375" s="4">
        <v>1</v>
      </c>
      <c r="E375" s="4">
        <v>0</v>
      </c>
      <c r="F375" s="4">
        <v>100</v>
      </c>
      <c r="G375" s="2"/>
      <c r="H375" s="29">
        <v>3.4585321989347721E-3</v>
      </c>
    </row>
    <row r="376" spans="1:8" x14ac:dyDescent="0.3">
      <c r="A376" s="2"/>
      <c r="B376" s="4">
        <v>1</v>
      </c>
      <c r="C376" s="4">
        <v>1</v>
      </c>
      <c r="D376" s="4">
        <v>0</v>
      </c>
      <c r="E376" s="4">
        <v>100</v>
      </c>
      <c r="F376" s="4">
        <v>0</v>
      </c>
      <c r="G376" s="4">
        <v>0</v>
      </c>
      <c r="H376" s="29">
        <v>3.4585321989347721E-3</v>
      </c>
    </row>
    <row r="377" spans="1:8" x14ac:dyDescent="0.3">
      <c r="A377" s="2"/>
      <c r="B377" s="4">
        <v>1</v>
      </c>
      <c r="C377" s="4">
        <v>1</v>
      </c>
      <c r="D377" s="4">
        <v>0</v>
      </c>
      <c r="E377" s="4">
        <v>100</v>
      </c>
      <c r="F377" s="4">
        <v>0</v>
      </c>
      <c r="G377" s="4">
        <v>0</v>
      </c>
      <c r="H377" s="29">
        <v>3.4585321989347721E-3</v>
      </c>
    </row>
    <row r="378" spans="1:8" x14ac:dyDescent="0.3">
      <c r="A378" s="2"/>
      <c r="B378" s="4">
        <v>1</v>
      </c>
      <c r="C378" s="4">
        <v>1</v>
      </c>
      <c r="D378" s="4">
        <v>0</v>
      </c>
      <c r="E378" s="4">
        <v>100</v>
      </c>
      <c r="F378" s="4">
        <v>0</v>
      </c>
      <c r="G378" s="4">
        <v>0</v>
      </c>
      <c r="H378" s="29">
        <v>3.4585321989347721E-3</v>
      </c>
    </row>
    <row r="379" spans="1:8" x14ac:dyDescent="0.3">
      <c r="A379" s="2"/>
      <c r="B379" s="4">
        <v>1</v>
      </c>
      <c r="C379" s="4">
        <v>1</v>
      </c>
      <c r="D379" s="4">
        <v>0</v>
      </c>
      <c r="E379" s="4">
        <v>100</v>
      </c>
      <c r="F379" s="4">
        <v>0</v>
      </c>
      <c r="G379" s="4">
        <v>0</v>
      </c>
      <c r="H379" s="29">
        <v>3.4585321989347721E-3</v>
      </c>
    </row>
    <row r="380" spans="1:8" x14ac:dyDescent="0.3">
      <c r="A380" s="2"/>
      <c r="B380" s="4">
        <v>1</v>
      </c>
      <c r="C380" s="4">
        <v>1</v>
      </c>
      <c r="D380" s="4">
        <v>0</v>
      </c>
      <c r="E380" s="4">
        <v>100</v>
      </c>
      <c r="F380" s="4">
        <v>0</v>
      </c>
      <c r="G380" s="4">
        <v>0</v>
      </c>
      <c r="H380" s="29">
        <v>3.4585321989347721E-3</v>
      </c>
    </row>
    <row r="381" spans="1:8" x14ac:dyDescent="0.3">
      <c r="A381" s="2"/>
      <c r="B381" s="4">
        <v>1</v>
      </c>
      <c r="C381" s="4">
        <v>1</v>
      </c>
      <c r="D381" s="4">
        <v>0</v>
      </c>
      <c r="E381" s="4">
        <v>100</v>
      </c>
      <c r="F381" s="4">
        <v>0</v>
      </c>
      <c r="G381" s="4">
        <v>0</v>
      </c>
      <c r="H381" s="29">
        <v>3.4585321989347721E-3</v>
      </c>
    </row>
    <row r="382" spans="1:8" x14ac:dyDescent="0.3">
      <c r="A382" s="2"/>
      <c r="B382" s="4">
        <v>1</v>
      </c>
      <c r="C382" s="4">
        <v>1</v>
      </c>
      <c r="D382" s="4">
        <v>0</v>
      </c>
      <c r="E382" s="4">
        <v>100</v>
      </c>
      <c r="F382" s="4">
        <v>0</v>
      </c>
      <c r="G382" s="4">
        <v>0</v>
      </c>
      <c r="H382" s="29">
        <v>3.4585321989347721E-3</v>
      </c>
    </row>
    <row r="383" spans="1:8" x14ac:dyDescent="0.3">
      <c r="A383" s="2"/>
      <c r="B383" s="4">
        <v>1</v>
      </c>
      <c r="C383" s="4">
        <v>1</v>
      </c>
      <c r="D383" s="4">
        <v>0</v>
      </c>
      <c r="E383" s="4">
        <v>100</v>
      </c>
      <c r="F383" s="4">
        <v>0</v>
      </c>
      <c r="G383" s="4">
        <v>0</v>
      </c>
      <c r="H383" s="29">
        <v>3.4585321989347721E-3</v>
      </c>
    </row>
    <row r="384" spans="1:8" x14ac:dyDescent="0.3">
      <c r="A384" s="2"/>
      <c r="B384" s="4">
        <v>1</v>
      </c>
      <c r="C384" s="4">
        <v>1</v>
      </c>
      <c r="D384" s="4">
        <v>0</v>
      </c>
      <c r="E384" s="4">
        <v>100</v>
      </c>
      <c r="F384" s="4">
        <v>0</v>
      </c>
      <c r="G384" s="4">
        <v>0</v>
      </c>
      <c r="H384" s="29">
        <v>3.4585321989347721E-3</v>
      </c>
    </row>
    <row r="385" spans="1:8" x14ac:dyDescent="0.3">
      <c r="A385" s="2"/>
      <c r="B385" s="4">
        <v>1</v>
      </c>
      <c r="C385" s="4">
        <v>1</v>
      </c>
      <c r="D385" s="4">
        <v>0</v>
      </c>
      <c r="E385" s="4">
        <v>100</v>
      </c>
      <c r="F385" s="4">
        <v>0</v>
      </c>
      <c r="G385" s="4">
        <v>0</v>
      </c>
      <c r="H385" s="29">
        <v>3.4585321989347721E-3</v>
      </c>
    </row>
    <row r="386" spans="1:8" x14ac:dyDescent="0.3">
      <c r="A386" s="2"/>
      <c r="B386" s="4">
        <v>1</v>
      </c>
      <c r="C386" s="4">
        <v>1</v>
      </c>
      <c r="D386" s="4">
        <v>0</v>
      </c>
      <c r="E386" s="4">
        <v>100</v>
      </c>
      <c r="F386" s="4">
        <v>0</v>
      </c>
      <c r="G386" s="4">
        <v>0</v>
      </c>
      <c r="H386" s="29">
        <v>3.4585321989347721E-3</v>
      </c>
    </row>
    <row r="387" spans="1:8" x14ac:dyDescent="0.3">
      <c r="A387" s="2"/>
      <c r="B387" s="4">
        <v>1</v>
      </c>
      <c r="C387" s="4">
        <v>1</v>
      </c>
      <c r="D387" s="4">
        <v>0</v>
      </c>
      <c r="E387" s="4">
        <v>100</v>
      </c>
      <c r="F387" s="4">
        <v>0</v>
      </c>
      <c r="G387" s="4">
        <v>0</v>
      </c>
      <c r="H387" s="29">
        <v>3.4585321989347721E-3</v>
      </c>
    </row>
    <row r="388" spans="1:8" x14ac:dyDescent="0.3">
      <c r="A388" s="2"/>
      <c r="B388" s="4">
        <v>1</v>
      </c>
      <c r="C388" s="4">
        <v>1</v>
      </c>
      <c r="D388" s="4">
        <v>0</v>
      </c>
      <c r="E388" s="4">
        <v>100</v>
      </c>
      <c r="F388" s="4">
        <v>0</v>
      </c>
      <c r="G388" s="4">
        <v>0</v>
      </c>
      <c r="H388" s="29">
        <v>3.4585321989347721E-3</v>
      </c>
    </row>
    <row r="389" spans="1:8" x14ac:dyDescent="0.3">
      <c r="A389" s="2"/>
      <c r="B389" s="4">
        <v>1</v>
      </c>
      <c r="C389" s="4">
        <v>1</v>
      </c>
      <c r="D389" s="4">
        <v>0</v>
      </c>
      <c r="E389" s="4">
        <v>100</v>
      </c>
      <c r="F389" s="4">
        <v>0</v>
      </c>
      <c r="G389" s="4">
        <v>0</v>
      </c>
      <c r="H389" s="29">
        <v>3.4585321989347721E-3</v>
      </c>
    </row>
    <row r="390" spans="1:8" x14ac:dyDescent="0.3">
      <c r="A390" s="2"/>
      <c r="B390" s="4">
        <v>1</v>
      </c>
      <c r="C390" s="4">
        <v>1</v>
      </c>
      <c r="D390" s="4">
        <v>0</v>
      </c>
      <c r="E390" s="4">
        <v>100</v>
      </c>
      <c r="F390" s="4">
        <v>0</v>
      </c>
      <c r="G390" s="4">
        <v>0</v>
      </c>
      <c r="H390" s="29">
        <v>3.4585321989347721E-3</v>
      </c>
    </row>
    <row r="391" spans="1:8" x14ac:dyDescent="0.3">
      <c r="A391" s="2"/>
      <c r="B391" s="4">
        <v>1</v>
      </c>
      <c r="C391" s="4">
        <v>1</v>
      </c>
      <c r="D391" s="4">
        <v>0</v>
      </c>
      <c r="E391" s="4">
        <v>100</v>
      </c>
      <c r="F391" s="4">
        <v>0</v>
      </c>
      <c r="G391" s="4">
        <v>0</v>
      </c>
      <c r="H391" s="29">
        <v>3.4585321989347721E-3</v>
      </c>
    </row>
    <row r="392" spans="1:8" x14ac:dyDescent="0.3">
      <c r="A392" s="2"/>
      <c r="B392" s="4">
        <v>1</v>
      </c>
      <c r="C392" s="4">
        <v>1</v>
      </c>
      <c r="D392" s="4">
        <v>0</v>
      </c>
      <c r="E392" s="4">
        <v>100</v>
      </c>
      <c r="F392" s="4">
        <v>0</v>
      </c>
      <c r="G392" s="4">
        <v>0</v>
      </c>
      <c r="H392" s="29">
        <v>3.4585321989347721E-3</v>
      </c>
    </row>
  </sheetData>
  <autoFilter ref="A13:H392" xr:uid="{00000000-0001-0000-0400-000000000000}"/>
  <mergeCells count="2">
    <mergeCell ref="A2:H3"/>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5"/>
  <sheetViews>
    <sheetView topLeftCell="A2" workbookViewId="0">
      <selection activeCell="A27" sqref="A27"/>
    </sheetView>
  </sheetViews>
  <sheetFormatPr defaultRowHeight="14.4" x14ac:dyDescent="0.3"/>
  <cols>
    <col min="1" max="1" width="58" bestFit="1" customWidth="1"/>
    <col min="2" max="2" width="22" customWidth="1"/>
    <col min="3" max="3" width="17" customWidth="1"/>
    <col min="4" max="5" width="13" customWidth="1"/>
    <col min="6" max="7" width="21" customWidth="1"/>
    <col min="8" max="8" width="27" customWidth="1"/>
    <col min="9" max="9" width="23" customWidth="1"/>
  </cols>
  <sheetData>
    <row r="1" spans="1:9" ht="22.05" customHeight="1" x14ac:dyDescent="0.3">
      <c r="A1" s="32" t="s">
        <v>283</v>
      </c>
      <c r="B1" s="33"/>
      <c r="C1" s="33"/>
      <c r="D1" s="33"/>
      <c r="E1" s="33"/>
      <c r="F1" s="33"/>
      <c r="G1" s="33"/>
      <c r="H1" s="33"/>
      <c r="I1" s="33"/>
    </row>
    <row r="2" spans="1:9" x14ac:dyDescent="0.3">
      <c r="A2" s="43" t="s">
        <v>284</v>
      </c>
      <c r="B2" s="33"/>
      <c r="C2" s="33"/>
      <c r="D2" s="33"/>
      <c r="E2" s="33"/>
      <c r="F2" s="33"/>
      <c r="G2" s="33"/>
      <c r="H2" s="33"/>
      <c r="I2" s="33"/>
    </row>
    <row r="3" spans="1:9" x14ac:dyDescent="0.3">
      <c r="A3" s="33"/>
      <c r="B3" s="33"/>
      <c r="C3" s="33"/>
      <c r="D3" s="33"/>
      <c r="E3" s="33"/>
      <c r="F3" s="33"/>
      <c r="G3" s="33"/>
      <c r="H3" s="33"/>
      <c r="I3" s="33"/>
    </row>
    <row r="5" spans="1:9" ht="26.4" x14ac:dyDescent="0.3">
      <c r="A5" s="21" t="s">
        <v>260</v>
      </c>
      <c r="B5" s="21" t="s">
        <v>275</v>
      </c>
      <c r="C5" s="21" t="s">
        <v>237</v>
      </c>
      <c r="D5" s="21" t="s">
        <v>277</v>
      </c>
      <c r="E5" s="21" t="s">
        <v>278</v>
      </c>
      <c r="F5" s="21" t="s">
        <v>279</v>
      </c>
      <c r="G5" s="21" t="s">
        <v>280</v>
      </c>
      <c r="H5" s="21" t="s">
        <v>281</v>
      </c>
      <c r="I5" s="21" t="s">
        <v>282</v>
      </c>
    </row>
    <row r="6" spans="1:9" x14ac:dyDescent="0.3">
      <c r="A6" s="2" t="s">
        <v>111</v>
      </c>
      <c r="B6" s="4">
        <v>16</v>
      </c>
      <c r="C6" s="4">
        <v>4326</v>
      </c>
      <c r="D6" s="4">
        <v>2036</v>
      </c>
      <c r="E6" s="4">
        <v>2290</v>
      </c>
      <c r="F6" s="4">
        <v>47.064262598243182</v>
      </c>
      <c r="G6" s="4">
        <v>52.935737401756818</v>
      </c>
      <c r="H6" s="31">
        <v>1.12475442043222</v>
      </c>
      <c r="I6" s="4">
        <v>14.96161029259182</v>
      </c>
    </row>
    <row r="7" spans="1:9" x14ac:dyDescent="0.3">
      <c r="A7" s="2" t="s">
        <v>113</v>
      </c>
      <c r="B7" s="4">
        <v>20</v>
      </c>
      <c r="C7" s="4">
        <v>3869</v>
      </c>
      <c r="D7" s="4">
        <v>1361</v>
      </c>
      <c r="E7" s="4">
        <v>2508</v>
      </c>
      <c r="F7" s="4">
        <v>35.177048332902558</v>
      </c>
      <c r="G7" s="4">
        <v>64.822951667097442</v>
      </c>
      <c r="H7" s="4">
        <v>1.8427626745040411</v>
      </c>
      <c r="I7" s="4">
        <v>13.381061077678631</v>
      </c>
    </row>
    <row r="8" spans="1:9" x14ac:dyDescent="0.3">
      <c r="A8" s="2" t="s">
        <v>115</v>
      </c>
      <c r="B8" s="4">
        <v>49</v>
      </c>
      <c r="C8" s="4">
        <v>3094</v>
      </c>
      <c r="D8" s="4">
        <v>2149</v>
      </c>
      <c r="E8" s="4">
        <v>945</v>
      </c>
      <c r="F8" s="4">
        <v>69.457013574660635</v>
      </c>
      <c r="G8" s="4">
        <v>30.542986425339372</v>
      </c>
      <c r="H8" s="4">
        <v>0.43973941368078168</v>
      </c>
      <c r="I8" s="4">
        <v>10.700698623504181</v>
      </c>
    </row>
    <row r="9" spans="1:9" x14ac:dyDescent="0.3">
      <c r="A9" s="2" t="s">
        <v>117</v>
      </c>
      <c r="B9" s="4">
        <v>19</v>
      </c>
      <c r="C9" s="4">
        <v>2281</v>
      </c>
      <c r="D9" s="4">
        <v>1674</v>
      </c>
      <c r="E9" s="4">
        <v>607</v>
      </c>
      <c r="F9" s="4">
        <v>73.388864533099522</v>
      </c>
      <c r="G9" s="4">
        <v>26.611135466900478</v>
      </c>
      <c r="H9" s="4">
        <v>0.36260454002389492</v>
      </c>
      <c r="I9" s="4">
        <v>7.8889119457702144</v>
      </c>
    </row>
    <row r="10" spans="1:9" x14ac:dyDescent="0.3">
      <c r="A10" s="2" t="s">
        <v>119</v>
      </c>
      <c r="B10" s="4">
        <v>17</v>
      </c>
      <c r="C10" s="4">
        <v>2037</v>
      </c>
      <c r="D10" s="4">
        <v>1555</v>
      </c>
      <c r="E10" s="4">
        <v>482</v>
      </c>
      <c r="F10" s="4">
        <v>76.337751595483553</v>
      </c>
      <c r="G10" s="4">
        <v>23.66224840451644</v>
      </c>
      <c r="H10" s="4">
        <v>0.30996784565916402</v>
      </c>
      <c r="I10" s="4">
        <v>7.0450300892301314</v>
      </c>
    </row>
    <row r="11" spans="1:9" x14ac:dyDescent="0.3">
      <c r="A11" s="2" t="s">
        <v>121</v>
      </c>
      <c r="B11" s="4">
        <v>12</v>
      </c>
      <c r="C11" s="4">
        <v>1705</v>
      </c>
      <c r="D11" s="4">
        <v>1162</v>
      </c>
      <c r="E11" s="4">
        <v>543</v>
      </c>
      <c r="F11" s="4">
        <v>68.152492668621704</v>
      </c>
      <c r="G11" s="4">
        <v>31.847507331378299</v>
      </c>
      <c r="H11" s="4">
        <v>0.46729776247848542</v>
      </c>
      <c r="I11" s="4">
        <v>5.8967973991837859</v>
      </c>
    </row>
    <row r="12" spans="1:9" x14ac:dyDescent="0.3">
      <c r="A12" s="2" t="s">
        <v>123</v>
      </c>
      <c r="B12" s="4">
        <v>7</v>
      </c>
      <c r="C12" s="4">
        <v>1559</v>
      </c>
      <c r="D12" s="4">
        <v>815</v>
      </c>
      <c r="E12" s="4">
        <v>744</v>
      </c>
      <c r="F12" s="4">
        <v>52.277100705580501</v>
      </c>
      <c r="G12" s="4">
        <v>47.722899294419499</v>
      </c>
      <c r="H12" s="4">
        <v>0.91288343558282203</v>
      </c>
      <c r="I12" s="4">
        <v>5.3918516981393099</v>
      </c>
    </row>
    <row r="13" spans="1:9" x14ac:dyDescent="0.3">
      <c r="A13" s="2" t="s">
        <v>125</v>
      </c>
      <c r="B13" s="4">
        <v>20</v>
      </c>
      <c r="C13" s="4">
        <v>1533</v>
      </c>
      <c r="D13" s="4">
        <v>1242</v>
      </c>
      <c r="E13" s="4">
        <v>291</v>
      </c>
      <c r="F13" s="4">
        <v>81.017612524461839</v>
      </c>
      <c r="G13" s="4">
        <v>18.982387475538161</v>
      </c>
      <c r="H13" s="4">
        <v>0.2342995169082126</v>
      </c>
      <c r="I13" s="4">
        <v>5.3019298609670056</v>
      </c>
    </row>
    <row r="14" spans="1:9" x14ac:dyDescent="0.3">
      <c r="A14" s="2" t="s">
        <v>127</v>
      </c>
      <c r="B14" s="4">
        <v>11</v>
      </c>
      <c r="C14" s="4">
        <v>1395</v>
      </c>
      <c r="D14" s="4">
        <v>702</v>
      </c>
      <c r="E14" s="4">
        <v>693</v>
      </c>
      <c r="F14" s="4">
        <v>50.322580645161288</v>
      </c>
      <c r="G14" s="4">
        <v>49.677419354838712</v>
      </c>
      <c r="H14" s="4">
        <v>0.98717948717948723</v>
      </c>
      <c r="I14" s="4">
        <v>4.8246524175140069</v>
      </c>
    </row>
    <row r="15" spans="1:9" x14ac:dyDescent="0.3">
      <c r="A15" s="2" t="s">
        <v>129</v>
      </c>
      <c r="B15" s="4">
        <v>2</v>
      </c>
      <c r="C15" s="4">
        <v>1163</v>
      </c>
      <c r="D15" s="4">
        <v>556</v>
      </c>
      <c r="E15" s="4">
        <v>607</v>
      </c>
      <c r="F15" s="4">
        <v>47.807394668959589</v>
      </c>
      <c r="G15" s="4">
        <v>52.192605331040411</v>
      </c>
      <c r="H15" s="4">
        <v>1.0917266187050361</v>
      </c>
      <c r="I15" s="4">
        <v>4.0222729473611398</v>
      </c>
    </row>
    <row r="16" spans="1:9" x14ac:dyDescent="0.3">
      <c r="A16" s="2" t="s">
        <v>131</v>
      </c>
      <c r="B16" s="4">
        <v>117</v>
      </c>
      <c r="C16" s="4">
        <v>693</v>
      </c>
      <c r="D16" s="4">
        <v>325</v>
      </c>
      <c r="E16" s="4">
        <v>368</v>
      </c>
      <c r="F16" s="4">
        <v>46.897546897546903</v>
      </c>
      <c r="G16" s="4">
        <v>53.102453102453097</v>
      </c>
      <c r="H16" s="4">
        <v>1.132307692307692</v>
      </c>
      <c r="I16" s="4">
        <v>2.3967628138617969</v>
      </c>
    </row>
    <row r="17" spans="1:9" x14ac:dyDescent="0.3">
      <c r="A17" s="2" t="s">
        <v>133</v>
      </c>
      <c r="B17" s="4">
        <v>7</v>
      </c>
      <c r="C17" s="4">
        <v>687</v>
      </c>
      <c r="D17" s="4">
        <v>682</v>
      </c>
      <c r="E17" s="4">
        <v>5</v>
      </c>
      <c r="F17" s="4">
        <v>99.272197962154294</v>
      </c>
      <c r="G17" s="4">
        <v>0.72780203784570596</v>
      </c>
      <c r="H17" s="4">
        <v>7.331378299120235E-3</v>
      </c>
      <c r="I17" s="4">
        <v>2.3760116206681881</v>
      </c>
    </row>
    <row r="18" spans="1:9" x14ac:dyDescent="0.3">
      <c r="A18" s="2" t="s">
        <v>135</v>
      </c>
      <c r="B18" s="4">
        <v>3</v>
      </c>
      <c r="C18" s="4">
        <v>589</v>
      </c>
      <c r="D18" s="4">
        <v>192</v>
      </c>
      <c r="E18" s="4">
        <v>397</v>
      </c>
      <c r="F18" s="4">
        <v>32.597623089983017</v>
      </c>
      <c r="G18" s="4">
        <v>67.402376910016983</v>
      </c>
      <c r="H18" s="4">
        <v>2.067708333333333</v>
      </c>
      <c r="I18" s="4">
        <v>2.0370754651725811</v>
      </c>
    </row>
    <row r="19" spans="1:9" x14ac:dyDescent="0.3">
      <c r="A19" s="2" t="s">
        <v>137</v>
      </c>
      <c r="B19" s="4">
        <v>3</v>
      </c>
      <c r="C19" s="4">
        <v>524</v>
      </c>
      <c r="D19" s="4">
        <v>278</v>
      </c>
      <c r="E19" s="4">
        <v>246</v>
      </c>
      <c r="F19" s="4">
        <v>53.05343511450382</v>
      </c>
      <c r="G19" s="4">
        <v>46.946564885496187</v>
      </c>
      <c r="H19" s="4">
        <v>0.8848920863309353</v>
      </c>
      <c r="I19" s="4">
        <v>1.812270872241821</v>
      </c>
    </row>
    <row r="20" spans="1:9" x14ac:dyDescent="0.3">
      <c r="A20" s="2" t="s">
        <v>139</v>
      </c>
      <c r="B20" s="4">
        <v>12</v>
      </c>
      <c r="C20" s="4">
        <v>436</v>
      </c>
      <c r="D20" s="4">
        <v>367</v>
      </c>
      <c r="E20" s="4">
        <v>69</v>
      </c>
      <c r="F20" s="4">
        <v>84.174311926605512</v>
      </c>
      <c r="G20" s="4">
        <v>15.825688073394501</v>
      </c>
      <c r="H20" s="4">
        <v>0.18801089918256131</v>
      </c>
      <c r="I20" s="4">
        <v>1.5079200387355609</v>
      </c>
    </row>
    <row r="21" spans="1:9" x14ac:dyDescent="0.3">
      <c r="A21" s="2" t="s">
        <v>141</v>
      </c>
      <c r="B21" s="4">
        <v>5</v>
      </c>
      <c r="C21" s="4">
        <v>430</v>
      </c>
      <c r="D21" s="4">
        <v>337</v>
      </c>
      <c r="E21" s="4">
        <v>93</v>
      </c>
      <c r="F21" s="4">
        <v>78.372093023255815</v>
      </c>
      <c r="G21" s="4">
        <v>21.627906976744189</v>
      </c>
      <c r="H21" s="4">
        <v>0.27596439169139458</v>
      </c>
      <c r="I21" s="4">
        <v>1.4871688455419521</v>
      </c>
    </row>
    <row r="22" spans="1:9" x14ac:dyDescent="0.3">
      <c r="A22" s="2" t="s">
        <v>143</v>
      </c>
      <c r="B22" s="4">
        <v>14</v>
      </c>
      <c r="C22" s="4">
        <v>417</v>
      </c>
      <c r="D22" s="4">
        <v>164</v>
      </c>
      <c r="E22" s="4">
        <v>253</v>
      </c>
      <c r="F22" s="4">
        <v>39.328537170263793</v>
      </c>
      <c r="G22" s="4">
        <v>60.671462829736207</v>
      </c>
      <c r="H22" s="4">
        <v>1.5426829268292681</v>
      </c>
      <c r="I22" s="4">
        <v>1.4422079269557999</v>
      </c>
    </row>
    <row r="23" spans="1:9" x14ac:dyDescent="0.3">
      <c r="A23" s="2" t="s">
        <v>145</v>
      </c>
      <c r="B23" s="4">
        <v>11</v>
      </c>
      <c r="C23" s="4">
        <v>399</v>
      </c>
      <c r="D23" s="4">
        <v>247</v>
      </c>
      <c r="E23" s="4">
        <v>152</v>
      </c>
      <c r="F23" s="4">
        <v>61.904761904761912</v>
      </c>
      <c r="G23" s="4">
        <v>38.095238095238088</v>
      </c>
      <c r="H23" s="4">
        <v>0.61538461538461542</v>
      </c>
      <c r="I23" s="4">
        <v>1.379954347374974</v>
      </c>
    </row>
    <row r="24" spans="1:9" x14ac:dyDescent="0.3">
      <c r="A24" s="2" t="s">
        <v>147</v>
      </c>
      <c r="B24" s="4">
        <v>5</v>
      </c>
      <c r="C24" s="4">
        <v>299</v>
      </c>
      <c r="D24" s="4">
        <v>257</v>
      </c>
      <c r="E24" s="4">
        <v>42</v>
      </c>
      <c r="F24" s="4">
        <v>85.953177257525084</v>
      </c>
      <c r="G24" s="4">
        <v>14.046822742474919</v>
      </c>
      <c r="H24" s="4">
        <v>0.16342412451361871</v>
      </c>
      <c r="I24" s="4">
        <v>1.0341011274814971</v>
      </c>
    </row>
    <row r="25" spans="1:9" x14ac:dyDescent="0.3">
      <c r="A25" s="2" t="s">
        <v>149</v>
      </c>
      <c r="B25" s="4">
        <v>2</v>
      </c>
      <c r="C25" s="4">
        <v>296</v>
      </c>
      <c r="D25" s="4">
        <v>269</v>
      </c>
      <c r="E25" s="4">
        <v>27</v>
      </c>
      <c r="F25" s="4">
        <v>90.878378378378372</v>
      </c>
      <c r="G25" s="4">
        <v>9.121621621621621</v>
      </c>
      <c r="H25" s="4">
        <v>0.1003717472118959</v>
      </c>
      <c r="I25" s="4">
        <v>1.0237255308846931</v>
      </c>
    </row>
    <row r="26" spans="1:9" x14ac:dyDescent="0.3">
      <c r="A26" s="2" t="s">
        <v>151</v>
      </c>
      <c r="B26" s="4">
        <v>4</v>
      </c>
      <c r="C26" s="4">
        <v>221</v>
      </c>
      <c r="D26" s="4">
        <v>77</v>
      </c>
      <c r="E26" s="4">
        <v>144</v>
      </c>
      <c r="F26" s="4">
        <v>34.841628959276022</v>
      </c>
      <c r="G26" s="4">
        <v>65.158371040723978</v>
      </c>
      <c r="H26" s="4">
        <v>1.8701298701298701</v>
      </c>
      <c r="I26" s="4">
        <v>0.76433561596458466</v>
      </c>
    </row>
    <row r="27" spans="1:9" x14ac:dyDescent="0.3">
      <c r="A27" s="2" t="s">
        <v>153</v>
      </c>
      <c r="B27" s="4">
        <v>7</v>
      </c>
      <c r="C27" s="4">
        <v>217</v>
      </c>
      <c r="D27" s="4">
        <v>161</v>
      </c>
      <c r="E27" s="4">
        <v>56</v>
      </c>
      <c r="F27" s="4">
        <v>74.193548387096769</v>
      </c>
      <c r="G27" s="4">
        <v>25.806451612903221</v>
      </c>
      <c r="H27" s="4">
        <v>0.34782608695652167</v>
      </c>
      <c r="I27" s="4">
        <v>0.75050148716884557</v>
      </c>
    </row>
    <row r="28" spans="1:9" x14ac:dyDescent="0.3">
      <c r="A28" s="2" t="s">
        <v>155</v>
      </c>
      <c r="B28" s="4">
        <v>2</v>
      </c>
      <c r="C28" s="4">
        <v>210</v>
      </c>
      <c r="D28" s="4">
        <v>199</v>
      </c>
      <c r="E28" s="4">
        <v>11</v>
      </c>
      <c r="F28" s="4">
        <v>94.761904761904759</v>
      </c>
      <c r="G28" s="4">
        <v>5.2380952380952381</v>
      </c>
      <c r="H28" s="4">
        <v>5.5276381909547742E-2</v>
      </c>
      <c r="I28" s="4">
        <v>0.72629176177630206</v>
      </c>
    </row>
    <row r="29" spans="1:9" x14ac:dyDescent="0.3">
      <c r="A29" s="2" t="s">
        <v>157</v>
      </c>
      <c r="B29" s="4">
        <v>1</v>
      </c>
      <c r="C29" s="4">
        <v>189</v>
      </c>
      <c r="D29" s="4">
        <v>51</v>
      </c>
      <c r="E29" s="4">
        <v>138</v>
      </c>
      <c r="F29" s="4">
        <v>26.984126984126981</v>
      </c>
      <c r="G29" s="4">
        <v>73.015873015873012</v>
      </c>
      <c r="H29" s="4">
        <v>2.7058823529411771</v>
      </c>
      <c r="I29" s="4">
        <v>0.65366258559867185</v>
      </c>
    </row>
    <row r="30" spans="1:9" x14ac:dyDescent="0.3">
      <c r="A30" s="2" t="s">
        <v>159</v>
      </c>
      <c r="B30" s="4">
        <v>7</v>
      </c>
      <c r="C30" s="4">
        <v>150</v>
      </c>
      <c r="D30" s="4">
        <v>92</v>
      </c>
      <c r="E30" s="4">
        <v>58</v>
      </c>
      <c r="F30" s="4">
        <v>61.333333333333329</v>
      </c>
      <c r="G30" s="4">
        <v>38.666666666666657</v>
      </c>
      <c r="H30" s="4">
        <v>0.63043478260869568</v>
      </c>
      <c r="I30" s="4">
        <v>0.51877982984021587</v>
      </c>
    </row>
    <row r="31" spans="1:9" x14ac:dyDescent="0.3">
      <c r="A31" s="2" t="s">
        <v>161</v>
      </c>
      <c r="B31" s="4">
        <v>1</v>
      </c>
      <c r="C31" s="4">
        <v>75</v>
      </c>
      <c r="D31" s="4">
        <v>24</v>
      </c>
      <c r="E31" s="4">
        <v>51</v>
      </c>
      <c r="F31" s="4">
        <v>32</v>
      </c>
      <c r="G31" s="4">
        <v>68</v>
      </c>
      <c r="H31" s="4">
        <v>2.125</v>
      </c>
      <c r="I31" s="4">
        <v>0.25938991492010788</v>
      </c>
    </row>
    <row r="32" spans="1:9" x14ac:dyDescent="0.3">
      <c r="A32" s="2" t="s">
        <v>163</v>
      </c>
      <c r="B32" s="4">
        <v>1</v>
      </c>
      <c r="C32" s="4">
        <v>42</v>
      </c>
      <c r="D32" s="4">
        <v>30</v>
      </c>
      <c r="E32" s="4">
        <v>12</v>
      </c>
      <c r="F32" s="4">
        <v>71.428571428571431</v>
      </c>
      <c r="G32" s="4">
        <v>28.571428571428569</v>
      </c>
      <c r="H32" s="4">
        <v>0.4</v>
      </c>
      <c r="I32" s="4">
        <v>0.14525835235526041</v>
      </c>
    </row>
    <row r="33" spans="1:9" x14ac:dyDescent="0.3">
      <c r="A33" s="2" t="s">
        <v>165</v>
      </c>
      <c r="B33" s="4">
        <v>3</v>
      </c>
      <c r="C33" s="4">
        <v>41</v>
      </c>
      <c r="D33" s="4">
        <v>25</v>
      </c>
      <c r="E33" s="4">
        <v>16</v>
      </c>
      <c r="F33" s="4">
        <v>60.975609756097562</v>
      </c>
      <c r="G33" s="4">
        <v>39.024390243902438</v>
      </c>
      <c r="H33" s="4">
        <v>0.64</v>
      </c>
      <c r="I33" s="4">
        <v>0.14179982015632561</v>
      </c>
    </row>
    <row r="34" spans="1:9" x14ac:dyDescent="0.3">
      <c r="A34" s="2" t="s">
        <v>167</v>
      </c>
      <c r="B34" s="4">
        <v>2</v>
      </c>
      <c r="C34" s="4">
        <v>26</v>
      </c>
      <c r="D34" s="4">
        <v>25</v>
      </c>
      <c r="E34" s="4">
        <v>1</v>
      </c>
      <c r="F34" s="4">
        <v>96.15384615384616</v>
      </c>
      <c r="G34" s="4">
        <v>3.8461538461538458</v>
      </c>
      <c r="H34" s="4">
        <v>0.04</v>
      </c>
      <c r="I34" s="4">
        <v>8.9921837172304078E-2</v>
      </c>
    </row>
    <row r="35" spans="1:9" x14ac:dyDescent="0.3">
      <c r="A35" s="2" t="s">
        <v>169</v>
      </c>
      <c r="B35" s="4">
        <v>1</v>
      </c>
      <c r="C35" s="4">
        <v>11</v>
      </c>
      <c r="D35" s="4">
        <v>11</v>
      </c>
      <c r="E35" s="4">
        <v>0</v>
      </c>
      <c r="F35" s="4">
        <v>100</v>
      </c>
      <c r="G35" s="4">
        <v>0</v>
      </c>
      <c r="H35" s="4">
        <v>0</v>
      </c>
      <c r="I35" s="4">
        <v>3.8043854188282503E-2</v>
      </c>
    </row>
  </sheetData>
  <mergeCells count="2">
    <mergeCell ref="A1:I1"/>
    <mergeCell ref="A2:I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0"/>
  <sheetViews>
    <sheetView workbookViewId="0">
      <pane ySplit="5" topLeftCell="A6" activePane="bottomLeft" state="frozen"/>
      <selection pane="bottomLeft" activeCell="D10" sqref="D10"/>
    </sheetView>
  </sheetViews>
  <sheetFormatPr defaultRowHeight="14.4" x14ac:dyDescent="0.3"/>
  <cols>
    <col min="1" max="1" width="17" customWidth="1"/>
    <col min="2" max="2" width="23.33203125" customWidth="1"/>
    <col min="3" max="3" width="22.6640625" customWidth="1"/>
    <col min="4" max="4" width="18.21875" customWidth="1"/>
  </cols>
  <sheetData>
    <row r="1" spans="1:4" ht="22.05" customHeight="1" x14ac:dyDescent="0.3">
      <c r="A1" s="32" t="s">
        <v>285</v>
      </c>
      <c r="B1" s="33"/>
      <c r="C1" s="33"/>
      <c r="D1" s="33"/>
    </row>
    <row r="2" spans="1:4" x14ac:dyDescent="0.3">
      <c r="A2" s="43" t="s">
        <v>286</v>
      </c>
      <c r="B2" s="33"/>
      <c r="C2" s="33"/>
      <c r="D2" s="33"/>
    </row>
    <row r="3" spans="1:4" x14ac:dyDescent="0.3">
      <c r="A3" s="33"/>
      <c r="B3" s="33"/>
      <c r="C3" s="33"/>
      <c r="D3" s="33"/>
    </row>
    <row r="5" spans="1:4" ht="26.4" x14ac:dyDescent="0.3">
      <c r="A5" s="21" t="s">
        <v>287</v>
      </c>
      <c r="B5" s="21" t="s">
        <v>237</v>
      </c>
      <c r="C5" s="21" t="s">
        <v>288</v>
      </c>
      <c r="D5" s="21" t="s">
        <v>289</v>
      </c>
    </row>
    <row r="6" spans="1:4" x14ac:dyDescent="0.3">
      <c r="A6" s="2" t="s">
        <v>290</v>
      </c>
      <c r="B6" s="4">
        <v>39067</v>
      </c>
      <c r="C6" s="2"/>
      <c r="D6" s="2"/>
    </row>
    <row r="7" spans="1:4" x14ac:dyDescent="0.3">
      <c r="A7" s="2" t="s">
        <v>291</v>
      </c>
      <c r="B7" s="4">
        <v>38736</v>
      </c>
      <c r="C7" s="4">
        <v>-331</v>
      </c>
      <c r="D7" s="23">
        <v>-8.4726239537205317E-3</v>
      </c>
    </row>
    <row r="8" spans="1:4" x14ac:dyDescent="0.3">
      <c r="A8" s="2" t="s">
        <v>292</v>
      </c>
      <c r="B8" s="4">
        <v>38938</v>
      </c>
      <c r="C8" s="4">
        <v>202</v>
      </c>
      <c r="D8" s="23">
        <v>5.2147872779843042E-3</v>
      </c>
    </row>
    <row r="9" spans="1:4" x14ac:dyDescent="0.3">
      <c r="A9" s="2" t="s">
        <v>293</v>
      </c>
      <c r="B9" s="4">
        <v>38504</v>
      </c>
      <c r="C9" s="4">
        <v>-434</v>
      </c>
      <c r="D9" s="23">
        <v>-1.1145924289896759E-2</v>
      </c>
    </row>
    <row r="10" spans="1:4" x14ac:dyDescent="0.3">
      <c r="A10" s="2" t="s">
        <v>294</v>
      </c>
      <c r="B10" s="4">
        <v>34502</v>
      </c>
      <c r="C10" s="4">
        <v>-4002</v>
      </c>
      <c r="D10" s="23">
        <v>-0.1039372532723873</v>
      </c>
    </row>
    <row r="11" spans="1:4" x14ac:dyDescent="0.3">
      <c r="A11" s="2" t="s">
        <v>295</v>
      </c>
      <c r="B11" s="4">
        <v>34187</v>
      </c>
      <c r="C11" s="4">
        <v>-315</v>
      </c>
      <c r="D11" s="23">
        <v>-9.1299055127239005E-3</v>
      </c>
    </row>
    <row r="12" spans="1:4" x14ac:dyDescent="0.3">
      <c r="A12" s="2" t="s">
        <v>296</v>
      </c>
      <c r="B12" s="4">
        <v>31414</v>
      </c>
      <c r="C12" s="4">
        <v>-2773</v>
      </c>
      <c r="D12" s="23">
        <v>-8.111270365928569E-2</v>
      </c>
    </row>
    <row r="13" spans="1:4" x14ac:dyDescent="0.3">
      <c r="A13" s="2" t="s">
        <v>297</v>
      </c>
      <c r="B13" s="4">
        <v>31873</v>
      </c>
      <c r="C13" s="4">
        <v>459</v>
      </c>
      <c r="D13" s="23">
        <v>1.461131979372254E-2</v>
      </c>
    </row>
    <row r="14" spans="1:4" x14ac:dyDescent="0.3">
      <c r="A14" s="2" t="s">
        <v>298</v>
      </c>
      <c r="B14" s="4">
        <v>28914</v>
      </c>
      <c r="C14" s="4">
        <v>-2959</v>
      </c>
      <c r="D14" s="23">
        <v>-9.2837197628086468E-2</v>
      </c>
    </row>
    <row r="15" spans="1:4" x14ac:dyDescent="0.3">
      <c r="A15" s="2"/>
      <c r="B15" s="2"/>
      <c r="C15" s="2"/>
      <c r="D15" s="2"/>
    </row>
    <row r="16" spans="1:4" x14ac:dyDescent="0.3">
      <c r="A16" s="44" t="s">
        <v>299</v>
      </c>
      <c r="B16" s="45"/>
      <c r="C16" s="45"/>
      <c r="D16" s="46"/>
    </row>
    <row r="17" spans="1:4" x14ac:dyDescent="0.3">
      <c r="A17" s="35" t="s">
        <v>300</v>
      </c>
      <c r="B17" s="36"/>
      <c r="C17" s="36"/>
      <c r="D17" s="37"/>
    </row>
    <row r="18" spans="1:4" x14ac:dyDescent="0.3">
      <c r="A18" s="38"/>
      <c r="B18" s="33"/>
      <c r="C18" s="33"/>
      <c r="D18" s="39"/>
    </row>
    <row r="19" spans="1:4" x14ac:dyDescent="0.3">
      <c r="A19" s="40"/>
      <c r="B19" s="41"/>
      <c r="C19" s="41"/>
      <c r="D19" s="42"/>
    </row>
    <row r="20" spans="1:4" x14ac:dyDescent="0.3">
      <c r="A20" s="2"/>
      <c r="B20" s="2"/>
      <c r="C20" s="2"/>
      <c r="D20" s="2"/>
    </row>
    <row r="21" spans="1:4" x14ac:dyDescent="0.3">
      <c r="A21" s="2"/>
      <c r="B21" s="2"/>
      <c r="C21" s="2"/>
      <c r="D21" s="2"/>
    </row>
    <row r="22" spans="1:4" ht="26.4" x14ac:dyDescent="0.3">
      <c r="A22" s="21" t="s">
        <v>301</v>
      </c>
      <c r="B22" s="21" t="s">
        <v>237</v>
      </c>
      <c r="C22" s="21" t="s">
        <v>288</v>
      </c>
      <c r="D22" s="21" t="s">
        <v>289</v>
      </c>
    </row>
    <row r="23" spans="1:4" x14ac:dyDescent="0.3">
      <c r="A23" s="9" t="s">
        <v>302</v>
      </c>
      <c r="B23" s="4">
        <v>38938</v>
      </c>
      <c r="C23" s="4"/>
      <c r="D23" s="23"/>
    </row>
    <row r="24" spans="1:4" x14ac:dyDescent="0.3">
      <c r="A24" s="9" t="s">
        <v>303</v>
      </c>
      <c r="B24" s="4">
        <v>34187</v>
      </c>
      <c r="C24" s="4">
        <v>-4751</v>
      </c>
      <c r="D24" s="23">
        <v>-0.12201448456520619</v>
      </c>
    </row>
    <row r="25" spans="1:4" x14ac:dyDescent="0.3">
      <c r="A25" s="9" t="s">
        <v>304</v>
      </c>
      <c r="B25" s="4">
        <v>28914</v>
      </c>
      <c r="C25" s="4">
        <v>-5273</v>
      </c>
      <c r="D25" s="23">
        <v>-0.15423991575745169</v>
      </c>
    </row>
    <row r="27" spans="1:4" x14ac:dyDescent="0.3">
      <c r="A27" s="34" t="s">
        <v>305</v>
      </c>
      <c r="B27" s="33"/>
      <c r="C27" s="33"/>
      <c r="D27" s="33"/>
    </row>
    <row r="28" spans="1:4" x14ac:dyDescent="0.3">
      <c r="A28" s="43" t="s">
        <v>306</v>
      </c>
      <c r="B28" s="33"/>
      <c r="C28" s="33"/>
      <c r="D28" s="33"/>
    </row>
    <row r="29" spans="1:4" x14ac:dyDescent="0.3">
      <c r="A29" s="33"/>
      <c r="B29" s="33"/>
      <c r="C29" s="33"/>
      <c r="D29" s="33"/>
    </row>
    <row r="30" spans="1:4" x14ac:dyDescent="0.3">
      <c r="A30" s="33"/>
      <c r="B30" s="33"/>
      <c r="C30" s="33"/>
      <c r="D30" s="33"/>
    </row>
  </sheetData>
  <mergeCells count="6">
    <mergeCell ref="A1:D1"/>
    <mergeCell ref="A27:D27"/>
    <mergeCell ref="A17:D19"/>
    <mergeCell ref="A28:D30"/>
    <mergeCell ref="A16:D16"/>
    <mergeCell ref="A2:D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Page</vt:lpstr>
      <vt:lpstr>Summary</vt:lpstr>
      <vt:lpstr>Age Analysis</vt:lpstr>
      <vt:lpstr>By Client</vt:lpstr>
      <vt:lpstr>COM MEM</vt:lpstr>
      <vt:lpstr>Industry Mem</vt:lpstr>
      <vt:lpstr>Membership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Bernard Doyi</cp:lastModifiedBy>
  <dcterms:created xsi:type="dcterms:W3CDTF">2026-10-04T13:39:05Z</dcterms:created>
  <dcterms:modified xsi:type="dcterms:W3CDTF">2026-10-16T16:25:53Z</dcterms:modified>
</cp:coreProperties>
</file>